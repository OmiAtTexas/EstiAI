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b28e4a0a464b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 Summary" sheetId="1" r:id="R9f0b2d5b0d7e4313"/>
    <x:sheet xmlns:r="http://schemas.openxmlformats.org/officeDocument/2006/relationships" name="Detailed Estimate" sheetId="2" r:id="R29a22b8e3794415d"/>
    <x:sheet xmlns:r="http://schemas.openxmlformats.org/officeDocument/2006/relationships" name="Rates &amp; Assumptions" sheetId="3" r:id="R6062d275280c407b"/>
    <x:sheet xmlns:r="http://schemas.openxmlformats.org/officeDocument/2006/relationships" name="Vendor Quotes" sheetId="4" r:id="Rac843ce961e74e57"/>
    <x:sheet xmlns:r="http://schemas.openxmlformats.org/officeDocument/2006/relationships" name="Scope Notes" sheetId="5" r:id="Ra2e93bd2f35b4570"/>
    <x:sheet xmlns:r="http://schemas.openxmlformats.org/officeDocument/2006/relationships" name="Lists" sheetId="6" r:id="R522f8db8f07a49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/dd/yyyy"/>
    <x:numFmt numFmtId="201" formatCode="0.0%"/>
    <x:numFmt numFmtId="202" formatCode="$#,##0.00"/>
    <x:numFmt numFmtId="203" formatCode="#,##0.00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color rgb="0B1F33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B1F33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4" fillId="5" borderId="0" xfId="0" applyNumberFormat="1" applyFont="1" applyFill="1" applyBorder="1"/>
    <x:xf numFmtId="202" fontId="4" fillId="5" borderId="0" xfId="0" applyNumberFormat="1" applyFont="1" applyFill="1" applyBorder="1"/>
    <x:xf numFmtId="0" fontId="0" fillId="5" borderId="1" xfId="0" applyNumberFormat="1" applyFont="1" applyFill="1" applyBorder="1"/>
    <x:xf numFmtId="202" fontId="0" fillId="5" borderId="1" xfId="0" applyNumberFormat="1" applyFont="1" applyFill="1" applyBorder="1"/>
    <x:xf numFmtId="0" fontId="4" fillId="5" borderId="1" xfId="0" applyNumberFormat="1" applyFont="1" applyFill="1" applyBorder="1"/>
    <x:xf numFmtId="202" fontId="4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cacbecc13f4d60" /><Relationship Type="http://schemas.openxmlformats.org/officeDocument/2006/relationships/theme" Target="/xl/theme/theme1.xml" Id="Rc199f1c1570e49e9" /><Relationship Type="http://schemas.openxmlformats.org/officeDocument/2006/relationships/sharedStrings" Target="/xl/sharedStrings.xml" Id="Rac5036e3a8bb4c54" /><Relationship Type="http://schemas.openxmlformats.org/officeDocument/2006/relationships/worksheet" Target="/xl/worksheets/sheet1.xml" Id="R9f0b2d5b0d7e4313" /><Relationship Type="http://schemas.openxmlformats.org/officeDocument/2006/relationships/worksheet" Target="/xl/worksheets/sheet2.xml" Id="R29a22b8e3794415d" /><Relationship Type="http://schemas.openxmlformats.org/officeDocument/2006/relationships/worksheet" Target="/xl/worksheets/sheet3.xml" Id="R6062d275280c407b" /><Relationship Type="http://schemas.openxmlformats.org/officeDocument/2006/relationships/worksheet" Target="/xl/worksheets/sheet4.xml" Id="Rac843ce961e74e57" /><Relationship Type="http://schemas.openxmlformats.org/officeDocument/2006/relationships/worksheet" Target="/xl/worksheets/sheet5.xml" Id="Ra2e93bd2f35b4570" /><Relationship Type="http://schemas.openxmlformats.org/officeDocument/2006/relationships/worksheet" Target="/xl/worksheets/sheet6.xml" Id="R522f8db8f07a49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907062a3439491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Direct Cost by Division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Direct Cost</c:v>
          </c:tx>
          <c:cat>
            <c:strRef>
              <c:f>'Estimate Summary'!$A$14:$A$25</c:f>
              <c:strCache>
                <c:ptCount val="0"/>
              </c:strCache>
            </c:strRef>
          </c:cat>
          <c:val>
            <c:numRef>
              <c:f>'Estimate Summary'!$B$14:$B$25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07062a3439491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DivisionSummary" displayName="DivisionSummary" ref="A13:D25" headerRowCount="1">
  <x:tableColumns count="4">
    <x:tableColumn id="1" name="Division"/>
    <x:tableColumn id="2" name="Direct Cost"/>
    <x:tableColumn id="3" name="% of Direct"/>
    <x:tableColumn id="4" name="Estimated Total"/>
  </x:tableColumns>
  <x:tableStyleInfo name="TableStyleMedium2" showRowStripes="1"/>
</x:table>
</file>

<file path=xl/tables/table2.xml><?xml version="1.0" encoding="utf-8"?>
<x:table xmlns:x="http://schemas.openxmlformats.org/spreadsheetml/2006/main" id="1" name="EstimateLineItems" displayName="EstimateLineItems" ref="A1:Q17" headerRowCount="1">
  <x:tableColumns count="17">
    <x:tableColumn id="1" name="Division"/>
    <x:tableColumn id="2" name="Description"/>
    <x:tableColumn id="3" name="Unit"/>
    <x:tableColumn id="4" name="Qty"/>
    <x:tableColumn id="5" name="Material Unit Cost"/>
    <x:tableColumn id="6" name="Labor Hours/Unit"/>
    <x:tableColumn id="7" name="Labor Rate"/>
    <x:tableColumn id="8" name="Equipment Unit Cost"/>
    <x:tableColumn id="9" name="Material Total"/>
    <x:tableColumn id="10" name="Labor Total"/>
    <x:tableColumn id="11" name="Equipment Total"/>
    <x:tableColumn id="12" name="Direct Cost"/>
    <x:tableColumn id="13" name="Contingency"/>
    <x:tableColumn id="14" name="Markup"/>
    <x:tableColumn id="15" name="Estimated Total"/>
    <x:tableColumn id="16" name="Status"/>
    <x:tableColumn id="17" name="Notes"/>
  </x:tableColumns>
  <x:tableStyleInfo name="TableStyleMedium2" showRowStripes="1"/>
</x:table>
</file>

<file path=xl/tables/table3.xml><?xml version="1.0" encoding="utf-8"?>
<x:table xmlns:x="http://schemas.openxmlformats.org/spreadsheetml/2006/main" id="2" name="VendorQuotes" displayName="VendorQuotes" ref="A1:F5" headerRowCount="1">
  <x:tableColumns count="6">
    <x:tableColumn id="1" name="Vendor/Subcontractor"/>
    <x:tableColumn id="2" name="Scope"/>
    <x:tableColumn id="3" name="Quoted Amount"/>
    <x:tableColumn id="4" name="Status"/>
    <x:tableColumn id="5" name="Date Received"/>
    <x:tableColumn id="6" name="Estimator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0adf62a2cc94587" /><Relationship Type="http://schemas.openxmlformats.org/officeDocument/2006/relationships/table" Target="/xl/tables/table1.xml" Id="R224dd670c58a49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bbcc66b46c043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66f883e0f5404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5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3" t="str">
        <x:v>Warehouse Tenant Improvement Estimate</x:v>
      </x:c>
    </x:row>
    <x:row r="3">
      <x:c r="A3" s="20" t="str">
        <x:v>Client</x:v>
      </x:c>
      <x:c r="B3" t="str">
        <x:v>Northline Logistics</x:v>
      </x:c>
      <x:c r="D3" s="5" t="str">
        <x:v>Cost Category</x:v>
      </x:c>
      <x:c r="E3" s="5" t="str">
        <x:v>Amount</x:v>
      </x:c>
    </x:row>
    <x:row r="4">
      <x:c r="A4" s="20" t="str">
        <x:v>Location</x:v>
      </x:c>
      <x:c r="B4" t="str">
        <x:v>Arlington, TX</x:v>
      </x:c>
      <x:c r="D4" t="str">
        <x:v>Material Total</x:v>
      </x:c>
      <x:c r="E4" s="28" t="n">
        <x:f>SUM('Detailed Estimate'!I2:I17)</x:f>
        <x:v>361485</x:v>
      </x:c>
    </x:row>
    <x:row r="5">
      <x:c r="A5" s="20" t="str">
        <x:v>Estimator</x:v>
      </x:c>
      <x:c r="B5" t="str">
        <x:v>Sample Estimator</x:v>
      </x:c>
      <x:c r="D5" t="str">
        <x:v>Labor Total</x:v>
      </x:c>
      <x:c r="E5" s="28" t="n">
        <x:f>SUM('Detailed Estimate'!J2:J17)</x:f>
        <x:v>143276.2</x:v>
      </x:c>
    </x:row>
    <x:row r="6">
      <x:c r="A6" s="20" t="str">
        <x:v>Estimate Date</x:v>
      </x:c>
      <x:c r="B6" s="24" t="n">
        <x:v>46162</x:v>
      </x:c>
      <x:c r="D6" t="str">
        <x:v>Equipment Total</x:v>
      </x:c>
      <x:c r="E6" s="28" t="n">
        <x:f>SUM('Detailed Estimate'!K2:K17)</x:f>
        <x:v>16645.7</x:v>
      </x:c>
    </x:row>
    <x:row r="7">
      <x:c r="A7" s="20" t="str">
        <x:v>Planned Start</x:v>
      </x:c>
      <x:c r="B7" s="24" t="n">
        <x:v>46237</x:v>
      </x:c>
      <x:c r="D7" t="str">
        <x:v>Direct Cost</x:v>
      </x:c>
      <x:c r="E7" s="28" t="n">
        <x:f>SUM('Detailed Estimate'!L2:L17)</x:f>
        <x:v>521406.89999999997</x:v>
      </x:c>
    </x:row>
    <x:row r="8">
      <x:c r="A8" s="20" t="str">
        <x:v>Duration Days</x:v>
      </x:c>
      <x:c r="B8" t="n">
        <x:v>96</x:v>
      </x:c>
      <x:c r="D8" t="str">
        <x:v>Contingency</x:v>
      </x:c>
      <x:c r="E8" s="28" t="n">
        <x:f>SUM('Detailed Estimate'!M2:M17)</x:f>
        <x:v>36498.48300000001</x:v>
      </x:c>
    </x:row>
    <x:row r="9">
      <x:c r="A9" s="20" t="str">
        <x:v>Markup %</x:v>
      </x:c>
      <x:c r="B9" s="26" t="n">
        <x:v>0.13</x:v>
      </x:c>
      <x:c r="D9" t="str">
        <x:v>Markup</x:v>
      </x:c>
      <x:c r="E9" s="28" t="n">
        <x:f>SUM('Detailed Estimate'!N2:N17)</x:f>
        <x:v>67782.897</x:v>
      </x:c>
    </x:row>
    <x:row r="10">
      <x:c r="A10" s="20" t="str">
        <x:v>Contingency %</x:v>
      </x:c>
      <x:c r="B10" s="26" t="n">
        <x:v>0.07</x:v>
      </x:c>
      <x:c r="D10" s="44" t="str">
        <x:v>Grand Total</x:v>
      </x:c>
      <x:c r="E10" s="45" t="n">
        <x:f>SUM('Detailed Estimate'!O2:O17)</x:f>
        <x:v>625688.28</x:v>
      </x:c>
    </x:row>
    <x:row r="13">
      <x:c r="A13" s="5" t="str">
        <x:v>Division</x:v>
      </x:c>
      <x:c r="B13" s="5" t="str">
        <x:v>Direct Cost</x:v>
      </x:c>
      <x:c r="C13" s="5" t="str">
        <x:v>% of Direct</x:v>
      </x:c>
      <x:c r="D13" s="5" t="str">
        <x:v>Estimated Total</x:v>
      </x:c>
    </x:row>
    <x:row r="14">
      <x:c r="A14" t="str">
        <x:v>DIV 01</x:v>
      </x:c>
      <x:c r="B14" s="28" t="n">
        <x:f>SUMIF('Detailed Estimate'!$A$2:$A$17,A14,'Detailed Estimate'!$L$2:$L$17)</x:f>
        <x:v>46520</x:v>
      </x:c>
      <x:c r="C14" s="26" t="n">
        <x:f>IF($E$7=0,0,B14/$E$7)</x:f>
        <x:v>0.08922014649211586</x:v>
      </x:c>
      <x:c r="D14" s="28" t="n">
        <x:f>SUMIF('Detailed Estimate'!$A$2:$A$17,A14,'Detailed Estimate'!$O$2:$O$17)</x:f>
        <x:v>55824</x:v>
      </x:c>
    </x:row>
    <x:row r="15">
      <x:c r="A15" t="str">
        <x:v>DIV 02</x:v>
      </x:c>
      <x:c r="B15" s="28" t="n">
        <x:f>SUMIF('Detailed Estimate'!$A$2:$A$17,A15,'Detailed Estimate'!$L$2:$L$17)</x:f>
        <x:v>23062.5</x:v>
      </x:c>
      <x:c r="C15" s="26" t="n">
        <x:f>IF($E$7=0,0,B15/$E$7)</x:f>
        <x:v>0.04423129037993168</x:v>
      </x:c>
      <x:c r="D15" s="28" t="n">
        <x:f>SUMIF('Detailed Estimate'!$A$2:$A$17,A15,'Detailed Estimate'!$O$2:$O$17)</x:f>
        <x:v>27675</x:v>
      </x:c>
    </x:row>
    <x:row r="16">
      <x:c r="A16" t="str">
        <x:v>DIV 03</x:v>
      </x:c>
      <x:c r="B16" s="28" t="n">
        <x:f>SUMIF('Detailed Estimate'!$A$2:$A$17,A16,'Detailed Estimate'!$L$2:$L$17)</x:f>
        <x:v>26187</x:v>
      </x:c>
      <x:c r="C16" s="26" t="n">
        <x:f>IF($E$7=0,0,B16/$E$7)</x:f>
        <x:v>0.050223731216445355</x:v>
      </x:c>
      <x:c r="D16" s="28" t="n">
        <x:f>SUMIF('Detailed Estimate'!$A$2:$A$17,A16,'Detailed Estimate'!$O$2:$O$17)</x:f>
        <x:v>31424.4</x:v>
      </x:c>
    </x:row>
    <x:row r="17">
      <x:c r="A17" t="str">
        <x:v>DIV 05</x:v>
      </x:c>
      <x:c r="B17" s="28" t="n">
        <x:f>SUMIF('Detailed Estimate'!$A$2:$A$17,A17,'Detailed Estimate'!$L$2:$L$17)</x:f>
        <x:v>13680</x:v>
      </x:c>
      <x:c r="C17" s="26" t="n">
        <x:f>IF($E$7=0,0,B17/$E$7)</x:f>
        <x:v>0.02623670687902289</x:v>
      </x:c>
      <x:c r="D17" s="28" t="n">
        <x:f>SUMIF('Detailed Estimate'!$A$2:$A$17,A17,'Detailed Estimate'!$O$2:$O$17)</x:f>
        <x:v>16416</x:v>
      </x:c>
    </x:row>
    <x:row r="18">
      <x:c r="A18" t="str">
        <x:v>DIV 08</x:v>
      </x:c>
      <x:c r="B18" s="28" t="n">
        <x:f>SUMIF('Detailed Estimate'!$A$2:$A$17,A18,'Detailed Estimate'!$L$2:$L$17)</x:f>
        <x:v>69917</x:v>
      </x:c>
      <x:c r="C18" s="26" t="n">
        <x:f>IF($E$7=0,0,B18/$E$7)</x:f>
        <x:v>0.13409297038454995</x:v>
      </x:c>
      <x:c r="D18" s="28" t="n">
        <x:f>SUMIF('Detailed Estimate'!$A$2:$A$17,A18,'Detailed Estimate'!$O$2:$O$17)</x:f>
        <x:v>83900.4</x:v>
      </x:c>
    </x:row>
    <x:row r="19">
      <x:c r="A19" t="str">
        <x:v>DIV 09</x:v>
      </x:c>
      <x:c r="B19" s="28" t="n">
        <x:f>SUMIF('Detailed Estimate'!$A$2:$A$17,A19,'Detailed Estimate'!$L$2:$L$17)</x:f>
        <x:v>193452.8</x:v>
      </x:c>
      <x:c r="C19" s="26" t="n">
        <x:f>IF($E$7=0,0,B19/$E$7)</x:f>
        <x:v>0.37102079009694733</x:v>
      </x:c>
      <x:c r="D19" s="28" t="n">
        <x:f>SUMIF('Detailed Estimate'!$A$2:$A$17,A19,'Detailed Estimate'!$O$2:$O$17)</x:f>
        <x:v>232143.36000000004</x:v>
      </x:c>
    </x:row>
    <x:row r="20">
      <x:c r="A20" t="str">
        <x:v>DIV 10</x:v>
      </x:c>
      <x:c r="B20" s="28" t="n">
        <x:f>SUMIF('Detailed Estimate'!$A$2:$A$17,A20,'Detailed Estimate'!$L$2:$L$17)</x:f>
        <x:v>9464</x:v>
      </x:c>
      <x:c r="C20" s="26" t="n">
        <x:f>IF($E$7=0,0,B20/$E$7)</x:f>
        <x:v>0.01815089136718367</x:v>
      </x:c>
      <x:c r="D20" s="28" t="n">
        <x:f>SUMIF('Detailed Estimate'!$A$2:$A$17,A20,'Detailed Estimate'!$O$2:$O$17)</x:f>
        <x:v>11356.8</x:v>
      </x:c>
    </x:row>
    <x:row r="21">
      <x:c r="A21" t="str">
        <x:v>DIV 22</x:v>
      </x:c>
      <x:c r="B21" s="28" t="n">
        <x:f>SUMIF('Detailed Estimate'!$A$2:$A$17,A21,'Detailed Estimate'!$L$2:$L$17)</x:f>
        <x:v>22234</x:v>
      </x:c>
      <x:c r="C21" s="26" t="n">
        <x:f>IF($E$7=0,0,B21/$E$7)</x:f>
        <x:v>0.04264232023013121</x:v>
      </x:c>
      <x:c r="D21" s="28" t="n">
        <x:f>SUMIF('Detailed Estimate'!$A$2:$A$17,A21,'Detailed Estimate'!$O$2:$O$17)</x:f>
        <x:v>26680.800000000003</x:v>
      </x:c>
    </x:row>
    <x:row r="22">
      <x:c r="A22" t="str">
        <x:v>DIV 23</x:v>
      </x:c>
      <x:c r="B22" s="28" t="n">
        <x:f>SUMIF('Detailed Estimate'!$A$2:$A$17,A22,'Detailed Estimate'!$L$2:$L$17)</x:f>
        <x:v>25891.6</x:v>
      </x:c>
      <x:c r="C22" s="26" t="n">
        <x:f>IF($E$7=0,0,B22/$E$7)</x:f>
        <x:v>0.04965718712199628</x:v>
      </x:c>
      <x:c r="D22" s="28" t="n">
        <x:f>SUMIF('Detailed Estimate'!$A$2:$A$17,A22,'Detailed Estimate'!$O$2:$O$17)</x:f>
        <x:v>31069.92</x:v>
      </x:c>
    </x:row>
    <x:row r="23">
      <x:c r="A23" t="str">
        <x:v>DIV 26</x:v>
      </x:c>
      <x:c r="B23" s="28" t="n">
        <x:f>SUMIF('Detailed Estimate'!$A$2:$A$17,A23,'Detailed Estimate'!$L$2:$L$17)</x:f>
        <x:v>70400</x:v>
      </x:c>
      <x:c r="C23" s="26" t="n">
        <x:f>IF($E$7=0,0,B23/$E$7)</x:f>
        <x:v>0.13501931025462072</x:v>
      </x:c>
      <x:c r="D23" s="28" t="n">
        <x:f>SUMIF('Detailed Estimate'!$A$2:$A$17,A23,'Detailed Estimate'!$O$2:$O$17)</x:f>
        <x:v>84480</x:v>
      </x:c>
    </x:row>
    <x:row r="24">
      <x:c r="A24" t="str">
        <x:v>DIV 27</x:v>
      </x:c>
      <x:c r="B24" s="28" t="n">
        <x:f>SUMIF('Detailed Estimate'!$A$2:$A$17,A24,'Detailed Estimate'!$L$2:$L$17)</x:f>
        <x:v>8208</x:v>
      </x:c>
      <x:c r="C24" s="26" t="n">
        <x:f>IF($E$7=0,0,B24/$E$7)</x:f>
        <x:v>0.015742024127413736</x:v>
      </x:c>
      <x:c r="D24" s="28" t="n">
        <x:f>SUMIF('Detailed Estimate'!$A$2:$A$17,A24,'Detailed Estimate'!$O$2:$O$17)</x:f>
        <x:v>9849.599999999999</x:v>
      </x:c>
    </x:row>
    <x:row r="25">
      <x:c r="A25" t="str">
        <x:v>DIV 28</x:v>
      </x:c>
      <x:c r="B25" s="28" t="n">
        <x:f>SUMIF('Detailed Estimate'!$A$2:$A$17,A25,'Detailed Estimate'!$L$2:$L$17)</x:f>
        <x:v>12390</x:v>
      </x:c>
      <x:c r="C25" s="26" t="n">
        <x:f>IF($E$7=0,0,B25/$E$7)</x:f>
        <x:v>0.023762631449641348</x:v>
      </x:c>
      <x:c r="D25" s="28" t="n">
        <x:f>SUMIF('Detailed Estimate'!$A$2:$A$17,A25,'Detailed Estimate'!$O$2:$O$17)</x:f>
        <x:v>14868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50adf62a2cc94587"/>
  <x:tableParts count="1">
    <x:tablePart xmlns:r="http://schemas.openxmlformats.org/officeDocument/2006/relationships" r:id="R224dd670c58a4926"/>
  </x:tableParts>
</x:worksheet>
</file>

<file path=xl/worksheets/sheet2.xml><?xml version="1.0" encoding="utf-8"?>
<x:worksheet xmlns:x="http://schemas.openxmlformats.org/spreadsheetml/2006/main">
  <x:sheetFormatPr defaultRowHeight="15"/>
  <x:cols>
    <x:col min="2" max="2" width="34" hidden="0" customWidth="1"/>
    <x:col min="17" max="17" width="32" hidden="0" customWidth="1"/>
    <x:col min="1" max="1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2" t="str">
        <x:v>Division</x:v>
      </x:c>
      <x:c r="B1" s="32" t="str">
        <x:v>Description</x:v>
      </x:c>
      <x:c r="C1" s="32" t="str">
        <x:v>Unit</x:v>
      </x:c>
      <x:c r="D1" s="32" t="str">
        <x:v>Qty</x:v>
      </x:c>
      <x:c r="E1" s="32" t="str">
        <x:v>Material Unit Cost</x:v>
      </x:c>
      <x:c r="F1" s="32" t="str">
        <x:v>Labor Hours/Unit</x:v>
      </x:c>
      <x:c r="G1" s="32" t="str">
        <x:v>Labor Rate</x:v>
      </x:c>
      <x:c r="H1" s="32" t="str">
        <x:v>Equipment Unit Cost</x:v>
      </x:c>
      <x:c r="I1" s="32" t="str">
        <x:v>Material Total</x:v>
      </x:c>
      <x:c r="J1" s="32" t="str">
        <x:v>Labor Total</x:v>
      </x:c>
      <x:c r="K1" s="32" t="str">
        <x:v>Equipment Total</x:v>
      </x:c>
      <x:c r="L1" s="32" t="str">
        <x:v>Direct Cost</x:v>
      </x:c>
      <x:c r="M1" s="32" t="str">
        <x:v>Contingency</x:v>
      </x:c>
      <x:c r="N1" s="32" t="str">
        <x:v>Markup</x:v>
      </x:c>
      <x:c r="O1" s="32" t="str">
        <x:v>Estimated Total</x:v>
      </x:c>
      <x:c r="P1" s="32" t="str">
        <x:v>Status</x:v>
      </x:c>
      <x:c r="Q1" s="32" t="str">
        <x:v>Notes</x:v>
      </x:c>
    </x:row>
    <x:row r="2">
      <x:c r="A2" s="33" t="str">
        <x:v>DIV 01</x:v>
      </x:c>
      <x:c r="B2" s="33" t="str">
        <x:v>Permits and general conditions</x:v>
      </x:c>
      <x:c r="C2" s="33" t="str">
        <x:v>LS</x:v>
      </x:c>
      <x:c r="D2" s="34" t="n">
        <x:v>1</x:v>
      </x:c>
      <x:c r="E2" s="35" t="n">
        <x:v>36500</x:v>
      </x:c>
      <x:c r="F2" s="33" t="n">
        <x:v>90</x:v>
      </x:c>
      <x:c r="G2" s="35" t="n">
        <x:v>58</x:v>
      </x:c>
      <x:c r="H2" s="35" t="n">
        <x:v>4800</x:v>
      </x:c>
      <x:c r="I2" s="35" t="n">
        <x:f>D2*E2</x:f>
        <x:v>36500</x:v>
      </x:c>
      <x:c r="J2" s="35" t="n">
        <x:f>D2*F2*G2</x:f>
        <x:v>5220</x:v>
      </x:c>
      <x:c r="K2" s="35" t="n">
        <x:f>D2*H2</x:f>
        <x:v>4800</x:v>
      </x:c>
      <x:c r="L2" s="35" t="n">
        <x:f>SUM(I2:K2)</x:f>
        <x:v>46520</x:v>
      </x:c>
      <x:c r="M2" s="35" t="n">
        <x:f>L2*'Rates &amp; Assumptions'!$B$13</x:f>
        <x:v>3256.4</x:v>
      </x:c>
      <x:c r="N2" s="35" t="n">
        <x:f>L2*'Rates &amp; Assumptions'!$B$12</x:f>
        <x:v>6047.6</x:v>
      </x:c>
      <x:c r="O2" s="35" t="n">
        <x:f>L2+M2+N2</x:f>
        <x:v>55824</x:v>
      </x:c>
      <x:c r="P2" s="33" t="str">
        <x:v>In Scope</x:v>
      </x:c>
      <x:c r="Q2" s="33" t="str">
        <x:v>Sample quantity and rate for estimator use</x:v>
      </x:c>
    </x:row>
    <x:row r="3">
      <x:c r="A3" s="33" t="str">
        <x:v>DIV 02</x:v>
      </x:c>
      <x:c r="B3" s="33" t="str">
        <x:v>Sawcut and slab demolition</x:v>
      </x:c>
      <x:c r="C3" s="33" t="str">
        <x:v>LF</x:v>
      </x:c>
      <x:c r="D3" s="34" t="n">
        <x:v>1250</x:v>
      </x:c>
      <x:c r="E3" s="35" t="n">
        <x:v>12.5</x:v>
      </x:c>
      <x:c r="F3" s="33" t="n">
        <x:v>0.1</x:v>
      </x:c>
      <x:c r="G3" s="35" t="n">
        <x:v>52</x:v>
      </x:c>
      <x:c r="H3" s="35" t="n">
        <x:v>0.75</x:v>
      </x:c>
      <x:c r="I3" s="35" t="n">
        <x:f>D3*E3</x:f>
        <x:v>15625</x:v>
      </x:c>
      <x:c r="J3" s="35" t="n">
        <x:f>D3*F3*G3</x:f>
        <x:v>6500</x:v>
      </x:c>
      <x:c r="K3" s="35" t="n">
        <x:f>D3*H3</x:f>
        <x:v>937.5</x:v>
      </x:c>
      <x:c r="L3" s="35" t="n">
        <x:f>SUM(I3:K3)</x:f>
        <x:v>23062.5</x:v>
      </x:c>
      <x:c r="M3" s="35" t="n">
        <x:f>L3*'Rates &amp; Assumptions'!$B$13</x:f>
        <x:v>1614.3750000000002</x:v>
      </x:c>
      <x:c r="N3" s="35" t="n">
        <x:f>L3*'Rates &amp; Assumptions'!$B$12</x:f>
        <x:v>2998.125</x:v>
      </x:c>
      <x:c r="O3" s="35" t="n">
        <x:f>L3+M3+N3</x:f>
        <x:v>27675</x:v>
      </x:c>
      <x:c r="P3" s="33" t="str">
        <x:v>In Scope</x:v>
      </x:c>
      <x:c r="Q3" s="33" t="str">
        <x:v>Sample quantity and rate for estimator use</x:v>
      </x:c>
    </x:row>
    <x:row r="4">
      <x:c r="A4" s="33" t="str">
        <x:v>DIV 03</x:v>
      </x:c>
      <x:c r="B4" s="33" t="str">
        <x:v>Equipment pad concrete</x:v>
      </x:c>
      <x:c r="C4" s="33" t="str">
        <x:v>SF</x:v>
      </x:c>
      <x:c r="D4" s="34" t="n">
        <x:v>1450</x:v>
      </x:c>
      <x:c r="E4" s="35" t="n">
        <x:v>10.2</x:v>
      </x:c>
      <x:c r="F4" s="33" t="n">
        <x:v>0.12</x:v>
      </x:c>
      <x:c r="G4" s="35" t="n">
        <x:v>58</x:v>
      </x:c>
      <x:c r="H4" s="35" t="n">
        <x:v>0.9</x:v>
      </x:c>
      <x:c r="I4" s="35" t="n">
        <x:f>D4*E4</x:f>
        <x:v>14789.999999999998</x:v>
      </x:c>
      <x:c r="J4" s="35" t="n">
        <x:f>D4*F4*G4</x:f>
        <x:v>10092</x:v>
      </x:c>
      <x:c r="K4" s="35" t="n">
        <x:f>D4*H4</x:f>
        <x:v>1305</x:v>
      </x:c>
      <x:c r="L4" s="35" t="n">
        <x:f>SUM(I4:K4)</x:f>
        <x:v>26187</x:v>
      </x:c>
      <x:c r="M4" s="35" t="n">
        <x:f>L4*'Rates &amp; Assumptions'!$B$13</x:f>
        <x:v>1833.0900000000001</x:v>
      </x:c>
      <x:c r="N4" s="35" t="n">
        <x:f>L4*'Rates &amp; Assumptions'!$B$12</x:f>
        <x:v>3404.31</x:v>
      </x:c>
      <x:c r="O4" s="35" t="n">
        <x:f>L4+M4+N4</x:f>
        <x:v>31424.4</x:v>
      </x:c>
      <x:c r="P4" s="33" t="str">
        <x:v>In Scope</x:v>
      </x:c>
      <x:c r="Q4" s="33" t="str">
        <x:v>Sample quantity and rate for estimator use</x:v>
      </x:c>
    </x:row>
    <x:row r="5">
      <x:c r="A5" s="33" t="str">
        <x:v>DIV 05</x:v>
      </x:c>
      <x:c r="B5" s="33" t="str">
        <x:v>Steel bollards</x:v>
      </x:c>
      <x:c r="C5" s="33" t="str">
        <x:v>EA</x:v>
      </x:c>
      <x:c r="D5" s="34" t="n">
        <x:v>36</x:v>
      </x:c>
      <x:c r="E5" s="35" t="n">
        <x:v>285</x:v>
      </x:c>
      <x:c r="F5" s="33" t="n">
        <x:v>1.2</x:v>
      </x:c>
      <x:c r="G5" s="35" t="n">
        <x:v>50</x:v>
      </x:c>
      <x:c r="H5" s="35" t="n">
        <x:v>35</x:v>
      </x:c>
      <x:c r="I5" s="35" t="n">
        <x:f>D5*E5</x:f>
        <x:v>10260</x:v>
      </x:c>
      <x:c r="J5" s="35" t="n">
        <x:f>D5*F5*G5</x:f>
        <x:v>2160</x:v>
      </x:c>
      <x:c r="K5" s="35" t="n">
        <x:f>D5*H5</x:f>
        <x:v>1260</x:v>
      </x:c>
      <x:c r="L5" s="35" t="n">
        <x:f>SUM(I5:K5)</x:f>
        <x:v>13680</x:v>
      </x:c>
      <x:c r="M5" s="35" t="n">
        <x:f>L5*'Rates &amp; Assumptions'!$B$13</x:f>
        <x:v>957.6000000000001</x:v>
      </x:c>
      <x:c r="N5" s="35" t="n">
        <x:f>L5*'Rates &amp; Assumptions'!$B$12</x:f>
        <x:v>1778.4</x:v>
      </x:c>
      <x:c r="O5" s="35" t="n">
        <x:f>L5+M5+N5</x:f>
        <x:v>16416</x:v>
      </x:c>
      <x:c r="P5" s="33" t="str">
        <x:v>In Scope</x:v>
      </x:c>
      <x:c r="Q5" s="33" t="str">
        <x:v>Sample quantity and rate for estimator use</x:v>
      </x:c>
    </x:row>
    <x:row r="6">
      <x:c r="A6" s="33" t="str">
        <x:v>DIV 08</x:v>
      </x:c>
      <x:c r="B6" s="33" t="str">
        <x:v>Overhead dock doors</x:v>
      </x:c>
      <x:c r="C6" s="33" t="str">
        <x:v>EA</x:v>
      </x:c>
      <x:c r="D6" s="34" t="n">
        <x:v>8</x:v>
      </x:c>
      <x:c r="E6" s="35" t="n">
        <x:v>6800</x:v>
      </x:c>
      <x:c r="F6" s="33" t="n">
        <x:v>5</x:v>
      </x:c>
      <x:c r="G6" s="35" t="n">
        <x:v>62</x:v>
      </x:c>
      <x:c r="H6" s="35" t="n">
        <x:v>220</x:v>
      </x:c>
      <x:c r="I6" s="35" t="n">
        <x:f>D6*E6</x:f>
        <x:v>54400</x:v>
      </x:c>
      <x:c r="J6" s="35" t="n">
        <x:f>D6*F6*G6</x:f>
        <x:v>2480</x:v>
      </x:c>
      <x:c r="K6" s="35" t="n">
        <x:f>D6*H6</x:f>
        <x:v>1760</x:v>
      </x:c>
      <x:c r="L6" s="35" t="n">
        <x:f>SUM(I6:K6)</x:f>
        <x:v>58640</x:v>
      </x:c>
      <x:c r="M6" s="35" t="n">
        <x:f>L6*'Rates &amp; Assumptions'!$B$13</x:f>
        <x:v>4104.8</x:v>
      </x:c>
      <x:c r="N6" s="35" t="n">
        <x:f>L6*'Rates &amp; Assumptions'!$B$12</x:f>
        <x:v>7623.2</x:v>
      </x:c>
      <x:c r="O6" s="35" t="n">
        <x:f>L6+M6+N6</x:f>
        <x:v>70368</x:v>
      </x:c>
      <x:c r="P6" s="33" t="str">
        <x:v>Sub Quote</x:v>
      </x:c>
      <x:c r="Q6" s="33" t="str">
        <x:v>Sample quantity and rate for estimator use</x:v>
      </x:c>
    </x:row>
    <x:row r="7">
      <x:c r="A7" s="33" t="str">
        <x:v>DIV 08</x:v>
      </x:c>
      <x:c r="B7" s="33" t="str">
        <x:v>Hollow metal doors</x:v>
      </x:c>
      <x:c r="C7" s="33" t="str">
        <x:v>EA</x:v>
      </x:c>
      <x:c r="D7" s="34" t="n">
        <x:v>14</x:v>
      </x:c>
      <x:c r="E7" s="35" t="n">
        <x:v>725</x:v>
      </x:c>
      <x:c r="F7" s="33" t="n">
        <x:v>1.1</x:v>
      </x:c>
      <x:c r="G7" s="35" t="n">
        <x:v>55</x:v>
      </x:c>
      <x:c r="H7" s="35" t="n">
        <x:v>20</x:v>
      </x:c>
      <x:c r="I7" s="35" t="n">
        <x:f>D7*E7</x:f>
        <x:v>10150</x:v>
      </x:c>
      <x:c r="J7" s="35" t="n">
        <x:f>D7*F7*G7</x:f>
        <x:v>847.0000000000001</x:v>
      </x:c>
      <x:c r="K7" s="35" t="n">
        <x:f>D7*H7</x:f>
        <x:v>280</x:v>
      </x:c>
      <x:c r="L7" s="35" t="n">
        <x:f>SUM(I7:K7)</x:f>
        <x:v>11277</x:v>
      </x:c>
      <x:c r="M7" s="35" t="n">
        <x:f>L7*'Rates &amp; Assumptions'!$B$13</x:f>
        <x:v>789.3900000000001</x:v>
      </x:c>
      <x:c r="N7" s="35" t="n">
        <x:f>L7*'Rates &amp; Assumptions'!$B$12</x:f>
        <x:v>1466.01</x:v>
      </x:c>
      <x:c r="O7" s="35" t="n">
        <x:f>L7+M7+N7</x:f>
        <x:v>13532.4</x:v>
      </x:c>
      <x:c r="P7" s="33" t="str">
        <x:v>In Scope</x:v>
      </x:c>
      <x:c r="Q7" s="33" t="str">
        <x:v>Sample quantity and rate for estimator use</x:v>
      </x:c>
    </x:row>
    <x:row r="8">
      <x:c r="A8" s="33" t="str">
        <x:v>DIV 09</x:v>
      </x:c>
      <x:c r="B8" s="33" t="str">
        <x:v>Office partitions</x:v>
      </x:c>
      <x:c r="C8" s="33" t="str">
        <x:v>LF</x:v>
      </x:c>
      <x:c r="D8" s="34" t="n">
        <x:v>760</x:v>
      </x:c>
      <x:c r="E8" s="35" t="n">
        <x:v>20.5</x:v>
      </x:c>
      <x:c r="F8" s="33" t="n">
        <x:v>0.24</x:v>
      </x:c>
      <x:c r="G8" s="35" t="n">
        <x:v>49</x:v>
      </x:c>
      <x:c r="H8" s="35" t="n">
        <x:v>0.22</x:v>
      </x:c>
      <x:c r="I8" s="35" t="n">
        <x:f>D8*E8</x:f>
        <x:v>15580</x:v>
      </x:c>
      <x:c r="J8" s="35" t="n">
        <x:f>D8*F8*G8</x:f>
        <x:v>8937.6</x:v>
      </x:c>
      <x:c r="K8" s="35" t="n">
        <x:f>D8*H8</x:f>
        <x:v>167.2</x:v>
      </x:c>
      <x:c r="L8" s="35" t="n">
        <x:f>SUM(I8:K8)</x:f>
        <x:v>24684.8</x:v>
      </x:c>
      <x:c r="M8" s="35" t="n">
        <x:f>L8*'Rates &amp; Assumptions'!$B$13</x:f>
        <x:v>1727.9360000000001</x:v>
      </x:c>
      <x:c r="N8" s="35" t="n">
        <x:f>L8*'Rates &amp; Assumptions'!$B$12</x:f>
        <x:v>3209.024</x:v>
      </x:c>
      <x:c r="O8" s="35" t="n">
        <x:f>L8+M8+N8</x:f>
        <x:v>29621.760000000002</x:v>
      </x:c>
      <x:c r="P8" s="33" t="str">
        <x:v>In Scope</x:v>
      </x:c>
      <x:c r="Q8" s="33" t="str">
        <x:v>Sample quantity and rate for estimator use</x:v>
      </x:c>
    </x:row>
    <x:row r="9">
      <x:c r="A9" s="33" t="str">
        <x:v>DIV 09</x:v>
      </x:c>
      <x:c r="B9" s="33" t="str">
        <x:v>Drywall and paint office area</x:v>
      </x:c>
      <x:c r="C9" s="33" t="str">
        <x:v>SF</x:v>
      </x:c>
      <x:c r="D9" s="34" t="n">
        <x:v>9200</x:v>
      </x:c>
      <x:c r="E9" s="35" t="n">
        <x:v>3.35</x:v>
      </x:c>
      <x:c r="F9" s="33" t="n">
        <x:v>0.11</x:v>
      </x:c>
      <x:c r="G9" s="35" t="n">
        <x:v>45</x:v>
      </x:c>
      <x:c r="H9" s="35" t="n">
        <x:v>0.03</x:v>
      </x:c>
      <x:c r="I9" s="35" t="n">
        <x:f>D9*E9</x:f>
        <x:v>30820</x:v>
      </x:c>
      <x:c r="J9" s="35" t="n">
        <x:f>D9*F9*G9</x:f>
        <x:v>45540</x:v>
      </x:c>
      <x:c r="K9" s="35" t="n">
        <x:f>D9*H9</x:f>
        <x:v>276</x:v>
      </x:c>
      <x:c r="L9" s="35" t="n">
        <x:f>SUM(I9:K9)</x:f>
        <x:v>76636</x:v>
      </x:c>
      <x:c r="M9" s="35" t="n">
        <x:f>L9*'Rates &amp; Assumptions'!$B$13</x:f>
        <x:v>5364.52</x:v>
      </x:c>
      <x:c r="N9" s="35" t="n">
        <x:f>L9*'Rates &amp; Assumptions'!$B$12</x:f>
        <x:v>9962.68</x:v>
      </x:c>
      <x:c r="O9" s="35" t="n">
        <x:f>L9+M9+N9</x:f>
        <x:v>91963.20000000001</x:v>
      </x:c>
      <x:c r="P9" s="33" t="str">
        <x:v>In Scope</x:v>
      </x:c>
      <x:c r="Q9" s="33" t="str">
        <x:v>Sample quantity and rate for estimator use</x:v>
      </x:c>
    </x:row>
    <x:row r="10">
      <x:c r="A10" s="33" t="str">
        <x:v>DIV 09</x:v>
      </x:c>
      <x:c r="B10" s="33" t="str">
        <x:v>Sealed concrete floor</x:v>
      </x:c>
      <x:c r="C10" s="33" t="str">
        <x:v>SF</x:v>
      </x:c>
      <x:c r="D10" s="34" t="n">
        <x:v>62000</x:v>
      </x:c>
      <x:c r="E10" s="35" t="n">
        <x:v>0.72</x:v>
      </x:c>
      <x:c r="F10" s="33" t="n">
        <x:v>0.018</x:v>
      </x:c>
      <x:c r="G10" s="35" t="n">
        <x:v>42</x:v>
      </x:c>
      <x:c r="H10" s="35" t="n">
        <x:v>0.01</x:v>
      </x:c>
      <x:c r="I10" s="35" t="n">
        <x:f>D10*E10</x:f>
        <x:v>44640</x:v>
      </x:c>
      <x:c r="J10" s="35" t="n">
        <x:f>D10*F10*G10</x:f>
        <x:v>46872</x:v>
      </x:c>
      <x:c r="K10" s="35" t="n">
        <x:f>D10*H10</x:f>
        <x:v>620</x:v>
      </x:c>
      <x:c r="L10" s="35" t="n">
        <x:f>SUM(I10:K10)</x:f>
        <x:v>92132</x:v>
      </x:c>
      <x:c r="M10" s="35" t="n">
        <x:f>L10*'Rates &amp; Assumptions'!$B$13</x:f>
        <x:v>6449.240000000001</x:v>
      </x:c>
      <x:c r="N10" s="35" t="n">
        <x:f>L10*'Rates &amp; Assumptions'!$B$12</x:f>
        <x:v>11977.16</x:v>
      </x:c>
      <x:c r="O10" s="35" t="n">
        <x:f>L10+M10+N10</x:f>
        <x:v>110558.40000000001</x:v>
      </x:c>
      <x:c r="P10" s="33" t="str">
        <x:v>In Scope</x:v>
      </x:c>
      <x:c r="Q10" s="33" t="str">
        <x:v>Sample quantity and rate for estimator use</x:v>
      </x:c>
    </x:row>
    <x:row r="11">
      <x:c r="A11" s="33" t="str">
        <x:v>DIV 10</x:v>
      </x:c>
      <x:c r="B11" s="33" t="str">
        <x:v>Warehouse signage</x:v>
      </x:c>
      <x:c r="C11" s="33" t="str">
        <x:v>LS</x:v>
      </x:c>
      <x:c r="D11" s="34" t="n">
        <x:v>1</x:v>
      </x:c>
      <x:c r="E11" s="35" t="n">
        <x:v>8200</x:v>
      </x:c>
      <x:c r="F11" s="33" t="n">
        <x:v>18</x:v>
      </x:c>
      <x:c r="G11" s="35" t="n">
        <x:v>48</x:v>
      </x:c>
      <x:c r="H11" s="35" t="n">
        <x:v>400</x:v>
      </x:c>
      <x:c r="I11" s="35" t="n">
        <x:f>D11*E11</x:f>
        <x:v>8200</x:v>
      </x:c>
      <x:c r="J11" s="35" t="n">
        <x:f>D11*F11*G11</x:f>
        <x:v>864</x:v>
      </x:c>
      <x:c r="K11" s="35" t="n">
        <x:f>D11*H11</x:f>
        <x:v>400</x:v>
      </x:c>
      <x:c r="L11" s="35" t="n">
        <x:f>SUM(I11:K11)</x:f>
        <x:v>9464</x:v>
      </x:c>
      <x:c r="M11" s="35" t="n">
        <x:f>L11*'Rates &amp; Assumptions'!$B$13</x:f>
        <x:v>662.48</x:v>
      </x:c>
      <x:c r="N11" s="35" t="n">
        <x:f>L11*'Rates &amp; Assumptions'!$B$12</x:f>
        <x:v>1230.32</x:v>
      </x:c>
      <x:c r="O11" s="35" t="n">
        <x:f>L11+M11+N11</x:f>
        <x:v>11356.8</x:v>
      </x:c>
      <x:c r="P11" s="33" t="str">
        <x:v>Allowance</x:v>
      </x:c>
      <x:c r="Q11" s="33" t="str">
        <x:v>Sample quantity and rate for estimator use</x:v>
      </x:c>
    </x:row>
    <x:row r="12">
      <x:c r="A12" s="33" t="str">
        <x:v>DIV 22</x:v>
      </x:c>
      <x:c r="B12" s="33" t="str">
        <x:v>Breakroom plumbing</x:v>
      </x:c>
      <x:c r="C12" s="33" t="str">
        <x:v>LS</x:v>
      </x:c>
      <x:c r="D12" s="34" t="n">
        <x:v>1</x:v>
      </x:c>
      <x:c r="E12" s="35" t="n">
        <x:v>18800</x:v>
      </x:c>
      <x:c r="F12" s="33" t="n">
        <x:v>38</x:v>
      </x:c>
      <x:c r="G12" s="35" t="n">
        <x:v>68</x:v>
      </x:c>
      <x:c r="H12" s="35" t="n">
        <x:v>850</x:v>
      </x:c>
      <x:c r="I12" s="35" t="n">
        <x:f>D12*E12</x:f>
        <x:v>18800</x:v>
      </x:c>
      <x:c r="J12" s="35" t="n">
        <x:f>D12*F12*G12</x:f>
        <x:v>2584</x:v>
      </x:c>
      <x:c r="K12" s="35" t="n">
        <x:f>D12*H12</x:f>
        <x:v>850</x:v>
      </x:c>
      <x:c r="L12" s="35" t="n">
        <x:f>SUM(I12:K12)</x:f>
        <x:v>22234</x:v>
      </x:c>
      <x:c r="M12" s="35" t="n">
        <x:f>L12*'Rates &amp; Assumptions'!$B$13</x:f>
        <x:v>1556.38</x:v>
      </x:c>
      <x:c r="N12" s="35" t="n">
        <x:f>L12*'Rates &amp; Assumptions'!$B$12</x:f>
        <x:v>2890.42</x:v>
      </x:c>
      <x:c r="O12" s="35" t="n">
        <x:f>L12+M12+N12</x:f>
        <x:v>26680.800000000003</x:v>
      </x:c>
      <x:c r="P12" s="33" t="str">
        <x:v>Sub Quote</x:v>
      </x:c>
      <x:c r="Q12" s="33" t="str">
        <x:v>Sample quantity and rate for estimator use</x:v>
      </x:c>
    </x:row>
    <x:row r="13">
      <x:c r="A13" s="33" t="str">
        <x:v>DIV 23</x:v>
      </x:c>
      <x:c r="B13" s="33" t="str">
        <x:v>Warehouse ventilation fans</x:v>
      </x:c>
      <x:c r="C13" s="33" t="str">
        <x:v>EA</x:v>
      </x:c>
      <x:c r="D13" s="34" t="n">
        <x:v>14</x:v>
      </x:c>
      <x:c r="E13" s="35" t="n">
        <x:v>1650</x:v>
      </x:c>
      <x:c r="F13" s="33" t="n">
        <x:v>2.1</x:v>
      </x:c>
      <x:c r="G13" s="35" t="n">
        <x:v>64</x:v>
      </x:c>
      <x:c r="H13" s="35" t="n">
        <x:v>65</x:v>
      </x:c>
      <x:c r="I13" s="35" t="n">
        <x:f>D13*E13</x:f>
        <x:v>23100</x:v>
      </x:c>
      <x:c r="J13" s="35" t="n">
        <x:f>D13*F13*G13</x:f>
        <x:v>1881.6000000000001</x:v>
      </x:c>
      <x:c r="K13" s="35" t="n">
        <x:f>D13*H13</x:f>
        <x:v>910</x:v>
      </x:c>
      <x:c r="L13" s="35" t="n">
        <x:f>SUM(I13:K13)</x:f>
        <x:v>25891.6</x:v>
      </x:c>
      <x:c r="M13" s="35" t="n">
        <x:f>L13*'Rates &amp; Assumptions'!$B$13</x:f>
        <x:v>1812.412</x:v>
      </x:c>
      <x:c r="N13" s="35" t="n">
        <x:f>L13*'Rates &amp; Assumptions'!$B$12</x:f>
        <x:v>3365.908</x:v>
      </x:c>
      <x:c r="O13" s="35" t="n">
        <x:f>L13+M13+N13</x:f>
        <x:v>31069.92</x:v>
      </x:c>
      <x:c r="P13" s="33" t="str">
        <x:v>In Scope</x:v>
      </x:c>
      <x:c r="Q13" s="33" t="str">
        <x:v>Sample quantity and rate for estimator use</x:v>
      </x:c>
    </x:row>
    <x:row r="14">
      <x:c r="A14" s="33" t="str">
        <x:v>DIV 26</x:v>
      </x:c>
      <x:c r="B14" s="33" t="str">
        <x:v>LED high bay fixtures</x:v>
      </x:c>
      <x:c r="C14" s="33" t="str">
        <x:v>EA</x:v>
      </x:c>
      <x:c r="D14" s="34" t="n">
        <x:v>112</x:v>
      </x:c>
      <x:c r="E14" s="35" t="n">
        <x:v>245</x:v>
      </x:c>
      <x:c r="F14" s="33" t="n">
        <x:v>0.5</x:v>
      </x:c>
      <x:c r="G14" s="35" t="n">
        <x:v>65</x:v>
      </x:c>
      <x:c r="H14" s="35" t="n">
        <x:v>8</x:v>
      </x:c>
      <x:c r="I14" s="35" t="n">
        <x:f>D14*E14</x:f>
        <x:v>27440</x:v>
      </x:c>
      <x:c r="J14" s="35" t="n">
        <x:f>D14*F14*G14</x:f>
        <x:v>3640</x:v>
      </x:c>
      <x:c r="K14" s="35" t="n">
        <x:f>D14*H14</x:f>
        <x:v>896</x:v>
      </x:c>
      <x:c r="L14" s="35" t="n">
        <x:f>SUM(I14:K14)</x:f>
        <x:v>31976</x:v>
      </x:c>
      <x:c r="M14" s="35" t="n">
        <x:f>L14*'Rates &amp; Assumptions'!$B$13</x:f>
        <x:v>2238.32</x:v>
      </x:c>
      <x:c r="N14" s="35" t="n">
        <x:f>L14*'Rates &amp; Assumptions'!$B$12</x:f>
        <x:v>4156.88</x:v>
      </x:c>
      <x:c r="O14" s="35" t="n">
        <x:f>L14+M14+N14</x:f>
        <x:v>38371.2</x:v>
      </x:c>
      <x:c r="P14" s="33" t="str">
        <x:v>In Scope</x:v>
      </x:c>
      <x:c r="Q14" s="33" t="str">
        <x:v>Sample quantity and rate for estimator use</x:v>
      </x:c>
    </x:row>
    <x:row r="15">
      <x:c r="A15" s="33" t="str">
        <x:v>DIV 26</x:v>
      </x:c>
      <x:c r="B15" s="33" t="str">
        <x:v>Panelboard upgrade</x:v>
      </x:c>
      <x:c r="C15" s="33" t="str">
        <x:v>LS</x:v>
      </x:c>
      <x:c r="D15" s="34" t="n">
        <x:v>1</x:v>
      </x:c>
      <x:c r="E15" s="35" t="n">
        <x:v>33600</x:v>
      </x:c>
      <x:c r="F15" s="33" t="n">
        <x:v>42</x:v>
      </x:c>
      <x:c r="G15" s="35" t="n">
        <x:v>72</x:v>
      </x:c>
      <x:c r="H15" s="35" t="n">
        <x:v>1800</x:v>
      </x:c>
      <x:c r="I15" s="35" t="n">
        <x:f>D15*E15</x:f>
        <x:v>33600</x:v>
      </x:c>
      <x:c r="J15" s="35" t="n">
        <x:f>D15*F15*G15</x:f>
        <x:v>3024</x:v>
      </x:c>
      <x:c r="K15" s="35" t="n">
        <x:f>D15*H15</x:f>
        <x:v>1800</x:v>
      </x:c>
      <x:c r="L15" s="35" t="n">
        <x:f>SUM(I15:K15)</x:f>
        <x:v>38424</x:v>
      </x:c>
      <x:c r="M15" s="35" t="n">
        <x:f>L15*'Rates &amp; Assumptions'!$B$13</x:f>
        <x:v>2689.6800000000003</x:v>
      </x:c>
      <x:c r="N15" s="35" t="n">
        <x:f>L15*'Rates &amp; Assumptions'!$B$12</x:f>
        <x:v>4995.12</x:v>
      </x:c>
      <x:c r="O15" s="35" t="n">
        <x:f>L15+M15+N15</x:f>
        <x:v>46108.8</x:v>
      </x:c>
      <x:c r="P15" s="33" t="str">
        <x:v>Sub Quote</x:v>
      </x:c>
      <x:c r="Q15" s="33" t="str">
        <x:v>Sample quantity and rate for estimator use</x:v>
      </x:c>
    </x:row>
    <x:row r="16">
      <x:c r="A16" s="33" t="str">
        <x:v>DIV 27</x:v>
      </x:c>
      <x:c r="B16" s="33" t="str">
        <x:v>Data drops office area</x:v>
      </x:c>
      <x:c r="C16" s="33" t="str">
        <x:v>EA</x:v>
      </x:c>
      <x:c r="D16" s="34" t="n">
        <x:v>48</x:v>
      </x:c>
      <x:c r="E16" s="35" t="n">
        <x:v>135</x:v>
      </x:c>
      <x:c r="F16" s="33" t="n">
        <x:v>0.55</x:v>
      </x:c>
      <x:c r="G16" s="35" t="n">
        <x:v>60</x:v>
      </x:c>
      <x:c r="H16" s="35" t="n">
        <x:v>3</x:v>
      </x:c>
      <x:c r="I16" s="35" t="n">
        <x:f>D16*E16</x:f>
        <x:v>6480</x:v>
      </x:c>
      <x:c r="J16" s="35" t="n">
        <x:f>D16*F16*G16</x:f>
        <x:v>1584.0000000000002</x:v>
      </x:c>
      <x:c r="K16" s="35" t="n">
        <x:f>D16*H16</x:f>
        <x:v>144</x:v>
      </x:c>
      <x:c r="L16" s="35" t="n">
        <x:f>SUM(I16:K16)</x:f>
        <x:v>8208</x:v>
      </x:c>
      <x:c r="M16" s="35" t="n">
        <x:f>L16*'Rates &amp; Assumptions'!$B$13</x:f>
        <x:v>574.5600000000001</x:v>
      </x:c>
      <x:c r="N16" s="35" t="n">
        <x:f>L16*'Rates &amp; Assumptions'!$B$12</x:f>
        <x:v>1067.04</x:v>
      </x:c>
      <x:c r="O16" s="35" t="n">
        <x:f>L16+M16+N16</x:f>
        <x:v>9849.599999999999</x:v>
      </x:c>
      <x:c r="P16" s="33" t="str">
        <x:v>In Scope</x:v>
      </x:c>
      <x:c r="Q16" s="33" t="str">
        <x:v>Sample quantity and rate for estimator use</x:v>
      </x:c>
    </x:row>
    <x:row r="17">
      <x:c r="A17" s="33" t="str">
        <x:v>DIV 28</x:v>
      </x:c>
      <x:c r="B17" s="33" t="str">
        <x:v>Access control doors</x:v>
      </x:c>
      <x:c r="C17" s="33" t="str">
        <x:v>EA</x:v>
      </x:c>
      <x:c r="D17" s="34" t="n">
        <x:v>6</x:v>
      </x:c>
      <x:c r="E17" s="35" t="n">
        <x:v>1850</x:v>
      </x:c>
      <x:c r="F17" s="33" t="n">
        <x:v>2.5</x:v>
      </x:c>
      <x:c r="G17" s="35" t="n">
        <x:v>70</x:v>
      </x:c>
      <x:c r="H17" s="35" t="n">
        <x:v>40</x:v>
      </x:c>
      <x:c r="I17" s="35" t="n">
        <x:f>D17*E17</x:f>
        <x:v>11100</x:v>
      </x:c>
      <x:c r="J17" s="35" t="n">
        <x:f>D17*F17*G17</x:f>
        <x:v>1050</x:v>
      </x:c>
      <x:c r="K17" s="35" t="n">
        <x:f>D17*H17</x:f>
        <x:v>240</x:v>
      </x:c>
      <x:c r="L17" s="35" t="n">
        <x:f>SUM(I17:K17)</x:f>
        <x:v>12390</x:v>
      </x:c>
      <x:c r="M17" s="35" t="n">
        <x:f>L17*'Rates &amp; Assumptions'!$B$13</x:f>
        <x:v>867.3000000000001</x:v>
      </x:c>
      <x:c r="N17" s="35" t="n">
        <x:f>L17*'Rates &amp; Assumptions'!$B$12</x:f>
        <x:v>1610.7</x:v>
      </x:c>
      <x:c r="O17" s="35" t="n">
        <x:f>L17+M17+N17</x:f>
        <x:v>14868</x:v>
      </x:c>
      <x:c r="P17" s="33" t="str">
        <x:v>Allowance</x:v>
      </x:c>
      <x:c r="Q17" s="33" t="str">
        <x:v>Sample quantity and rate for estimator use</x:v>
      </x:c>
    </x:row>
  </x:sheetData>
  <x:dataValidations count="1">
    <x:dataValidation type="list" sqref="P2:P50">
      <x:formula1>Lists!$A$2:$A$7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bcc66b46c0438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6" hidden="0" customWidth="1"/>
  </x:cols>
  <x:sheetData>
    <x:row r="1">
      <x:c r="A1" s="13" t="str">
        <x:v>Warehouse Tenant Improvement Estimate - Rates &amp; Assumptions</x:v>
      </x:c>
    </x:row>
    <x:row r="3">
      <x:c r="A3" s="20" t="str">
        <x:v>Project Name</x:v>
      </x:c>
      <x:c r="B3" t="str">
        <x:v>Warehouse Tenant Improvement Estimate</x:v>
      </x:c>
    </x:row>
    <x:row r="4">
      <x:c r="A4" s="20" t="str">
        <x:v>Client</x:v>
      </x:c>
      <x:c r="B4" t="str">
        <x:v>Northline Logistics</x:v>
      </x:c>
    </x:row>
    <x:row r="5">
      <x:c r="A5" s="20" t="str">
        <x:v>Location</x:v>
      </x:c>
      <x:c r="B5" s="24" t="str">
        <x:v>Arlington, TX</x:v>
      </x:c>
    </x:row>
    <x:row r="6">
      <x:c r="A6" s="20" t="str">
        <x:v>Estimator</x:v>
      </x:c>
      <x:c r="B6" s="24" t="str">
        <x:v>Sample Estimator</x:v>
      </x:c>
    </x:row>
    <x:row r="7">
      <x:c r="A7" s="20" t="str">
        <x:v>Estimate Date</x:v>
      </x:c>
      <x:c r="B7" t="n">
        <x:v>46162</x:v>
      </x:c>
    </x:row>
    <x:row r="8">
      <x:c r="A8" s="20" t="str">
        <x:v>Planned Start</x:v>
      </x:c>
      <x:c r="B8" t="n">
        <x:v>46237</x:v>
      </x:c>
    </x:row>
    <x:row r="9">
      <x:c r="A9" s="20" t="str">
        <x:v>Duration Calendar Days</x:v>
      </x:c>
      <x:c r="B9" t="n">
        <x:v>96</x:v>
      </x:c>
    </x:row>
    <x:row r="10">
      <x:c r="A10" s="20" t="str">
        <x:v>Estimate Class</x:v>
      </x:c>
      <x:c r="B10" t="str">
        <x:v>Budget / Design Development</x:v>
      </x:c>
    </x:row>
    <x:row r="12">
      <x:c r="A12" s="20" t="str">
        <x:v>Markup %</x:v>
      </x:c>
      <x:c r="B12" s="26" t="n">
        <x:v>0.13</x:v>
      </x:c>
    </x:row>
    <x:row r="13">
      <x:c r="A13" s="20" t="str">
        <x:v>Contingency %</x:v>
      </x:c>
      <x:c r="B13" s="26" t="n">
        <x:v>0.07</x:v>
      </x:c>
    </x:row>
    <x:row r="14">
      <x:c r="A14" s="20" t="str">
        <x:v>Sales Tax %</x:v>
      </x:c>
      <x:c r="B14" s="26" t="n">
        <x:v>0.0825</x:v>
      </x:c>
    </x:row>
    <x:row r="15">
      <x:c r="A15" s="20" t="str">
        <x:v>Labor Burden %</x:v>
      </x:c>
      <x:c r="B15" s="26" t="n">
        <x:v>0.28</x:v>
      </x:c>
    </x:row>
    <x:row r="16">
      <x:c r="A16" s="20" t="str">
        <x:v>Default Crew Productivity</x:v>
      </x:c>
      <x:c r="B16" t="str">
        <x:v>Project-specific</x:v>
      </x:c>
    </x:row>
    <x:row r="17">
      <x:c r="A17" s="20" t="str">
        <x:v>Bid Validity Days</x:v>
      </x:c>
      <x:c r="B17" t="n">
        <x:v>30</x:v>
      </x:c>
    </x:row>
    <x:row r="18">
      <x:c r="A18" s="20" t="str">
        <x:v>Currency</x:v>
      </x:c>
      <x:c r="B18" t="str">
        <x:v>USD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6" max="6" width="44" hidden="0" customWidth="1"/>
  </x:cols>
  <x:sheetData>
    <x:row r="1">
      <x:c r="A1" s="32" t="str">
        <x:v>Vendor/Subcontractor</x:v>
      </x:c>
      <x:c r="B1" s="32" t="str">
        <x:v>Scope</x:v>
      </x:c>
      <x:c r="C1" s="32" t="str">
        <x:v>Quoted Amount</x:v>
      </x:c>
      <x:c r="D1" s="32" t="str">
        <x:v>Status</x:v>
      </x:c>
      <x:c r="E1" s="32" t="str">
        <x:v>Date Received</x:v>
      </x:c>
      <x:c r="F1" s="32" t="str">
        <x:v>Estimator Notes</x:v>
      </x:c>
    </x:row>
    <x:row r="2">
      <x:c r="A2" s="33" t="str">
        <x:v>Dock Systems Inc.</x:v>
      </x:c>
      <x:c r="B2" s="33" t="str">
        <x:v>Dock door replacement</x:v>
      </x:c>
      <x:c r="C2" s="35" t="n">
        <x:v>54400</x:v>
      </x:c>
      <x:c r="D2" s="33" t="str">
        <x:v>Received</x:v>
      </x:c>
      <x:c r="E2" s="40" t="n">
        <x:v>46212</x:v>
      </x:c>
      <x:c r="F2" s="33" t="str">
        <x:v>Compare inclusions, exclusions, tax, bonding, and schedule constraints.</x:v>
      </x:c>
    </x:row>
    <x:row r="3">
      <x:c r="A3" s="33" t="str">
        <x:v>Industrial Electric</x:v>
      </x:c>
      <x:c r="B3" s="33" t="str">
        <x:v>Panelboard and lighting</x:v>
      </x:c>
      <x:c r="C3" s="35" t="n">
        <x:v>94550</x:v>
      </x:c>
      <x:c r="D3" s="33" t="str">
        <x:v>Received</x:v>
      </x:c>
      <x:c r="E3" s="40" t="n">
        <x:v>46213</x:v>
      </x:c>
      <x:c r="F3" s="33" t="str">
        <x:v>Compare inclusions, exclusions, tax, bonding, and schedule constraints.</x:v>
      </x:c>
    </x:row>
    <x:row r="4">
      <x:c r="A4" s="33" t="str">
        <x:v>AquaLine Plumbing</x:v>
      </x:c>
      <x:c r="B4" s="33" t="str">
        <x:v>Breakroom plumbing</x:v>
      </x:c>
      <x:c r="C4" s="35" t="n">
        <x:v>18800</x:v>
      </x:c>
      <x:c r="D4" s="33" t="str">
        <x:v>Pending</x:v>
      </x:c>
      <x:c r="E4" s="40" t="n">
        <x:v>46215</x:v>
      </x:c>
      <x:c r="F4" s="33" t="str">
        <x:v>Compare inclusions, exclusions, tax, bonding, and schedule constraints.</x:v>
      </x:c>
    </x:row>
    <x:row r="5">
      <x:c r="A5" s="33" t="str">
        <x:v>SecureEntry</x:v>
      </x:c>
      <x:c r="B5" s="33" t="str">
        <x:v>Access control doors</x:v>
      </x:c>
      <x:c r="C5" s="35" t="n">
        <x:v>11100</x:v>
      </x:c>
      <x:c r="D5" s="33" t="str">
        <x:v>Budget</x:v>
      </x:c>
      <x:c r="E5" s="40" t="n">
        <x:v>46211</x:v>
      </x:c>
      <x:c r="F5" s="33" t="str">
        <x:v>Compare inclusions, exclusions, tax, bonding, and schedule constraints.</x:v>
      </x:c>
    </x:row>
    <x:row r="6">
      <x:c r="A6" s="33"/>
      <x:c r="B6" s="33"/>
      <x:c r="C6" s="33"/>
      <x:c r="D6" s="33"/>
      <x:c r="E6" s="33"/>
      <x:c r="F6" s="33"/>
    </x:row>
    <x:row r="7">
      <x:c r="A7" s="33"/>
      <x:c r="B7" s="33"/>
      <x:c r="C7" s="33"/>
      <x:c r="D7" s="33"/>
      <x:c r="E7" s="33"/>
      <x:c r="F7" s="33"/>
    </x:row>
    <x:row r="8">
      <x:c r="A8" s="33"/>
      <x:c r="B8" s="33"/>
      <x:c r="C8" s="33"/>
      <x:c r="D8" s="33"/>
      <x:c r="E8" s="33"/>
      <x:c r="F8" s="33"/>
    </x:row>
    <x:row r="9">
      <x:c r="A9" s="33"/>
      <x:c r="B9" s="33"/>
      <x:c r="C9" s="33"/>
      <x:c r="D9" s="33"/>
      <x:c r="E9" s="33"/>
      <x:c r="F9" s="33"/>
    </x:row>
    <x:row r="10">
      <x:c r="A10" s="33"/>
      <x:c r="B10" s="33"/>
      <x:c r="C10" s="33"/>
      <x:c r="D10" s="33"/>
      <x:c r="E10" s="33"/>
      <x:c r="F10" s="33"/>
    </x:row>
    <x:row r="11">
      <x:c r="A11" s="33"/>
      <x:c r="B11" s="33"/>
      <x:c r="C11" s="33"/>
      <x:c r="D11" s="33"/>
      <x:c r="E11" s="33"/>
      <x:c r="F11" s="33"/>
    </x:row>
    <x:row r="12">
      <x:c r="A12" s="33"/>
      <x:c r="B12" s="33"/>
      <x:c r="C12" s="33"/>
      <x:c r="D12" s="33"/>
      <x:c r="E12" s="33"/>
      <x:c r="F12" s="33"/>
    </x:row>
    <x:row r="13">
      <x:c r="A13" s="33"/>
      <x:c r="B13" s="33"/>
      <x:c r="C13" s="33"/>
      <x:c r="D13" s="33"/>
      <x:c r="E13" s="33"/>
      <x:c r="F13" s="33"/>
    </x:row>
    <x:row r="14">
      <x:c r="A14" s="33"/>
      <x:c r="B14" s="33"/>
      <x:c r="C14" s="33"/>
      <x:c r="D14" s="33"/>
      <x:c r="E14" s="33"/>
      <x:c r="F14" s="33"/>
    </x:row>
    <x:row r="15">
      <x:c r="A15" s="33"/>
      <x:c r="B15" s="33"/>
      <x:c r="C15" s="33"/>
      <x:c r="D15" s="33"/>
      <x:c r="E15" s="33"/>
      <x:c r="F15" s="33"/>
    </x:row>
    <x:row r="16">
      <x:c r="A16" s="33"/>
      <x:c r="B16" s="33"/>
      <x:c r="C16" s="33"/>
      <x:c r="D16" s="33"/>
      <x:c r="E16" s="33"/>
      <x:c r="F16" s="33"/>
    </x:row>
    <x:row r="17">
      <x:c r="A17" s="33"/>
      <x:c r="B17" s="33"/>
      <x:c r="C17" s="33"/>
      <x:c r="D17" s="33"/>
      <x:c r="E17" s="33"/>
      <x:c r="F17" s="33"/>
    </x:row>
    <x:row r="18">
      <x:c r="A18" s="33"/>
      <x:c r="B18" s="33"/>
      <x:c r="C18" s="33"/>
      <x:c r="D18" s="33"/>
      <x:c r="E18" s="33"/>
      <x:c r="F18" s="33"/>
    </x:row>
    <x:row r="19">
      <x:c r="A19" s="33"/>
      <x:c r="B19" s="33"/>
      <x:c r="C19" s="33"/>
      <x:c r="D19" s="33"/>
      <x:c r="E19" s="33"/>
      <x:c r="F19" s="33"/>
    </x:row>
    <x:row r="20">
      <x:c r="A20" s="33"/>
      <x:c r="B20" s="33"/>
      <x:c r="C20" s="33"/>
      <x:c r="D20" s="33"/>
      <x:c r="E20" s="33"/>
      <x:c r="F20" s="33"/>
    </x:row>
  </x:sheetData>
  <x:pageMargins left="0.7" right="0.7" top="0.75" bottom="0.75" header="0.3" footer="0.3"/>
  <x:tableParts count="1">
    <x:tablePart xmlns:r="http://schemas.openxmlformats.org/officeDocument/2006/relationships" r:id="R7166f883e0f5404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55" hidden="0" customWidth="1"/>
    <x:col min="4" max="4" width="14" hidden="0" customWidth="1"/>
    <x:col min="5" max="5" width="16" hidden="0" customWidth="1"/>
    <x:col min="6" max="6" width="14" hidden="0" customWidth="1"/>
  </x:cols>
  <x:sheetData>
    <x:row r="1">
      <x:c r="A1" s="13" t="str">
        <x:v>Warehouse Tenant Improvement Estimate - Scope Notes</x:v>
      </x:c>
    </x:row>
    <x:row r="3">
      <x:c r="A3" s="5" t="str">
        <x:v>Item</x:v>
      </x:c>
      <x:c r="B3" s="5" t="str">
        <x:v>Included / Excluded</x:v>
      </x:c>
      <x:c r="C3" s="5" t="str">
        <x:v>Description</x:v>
      </x:c>
      <x:c r="D3" s="5" t="str">
        <x:v>Risk Level</x:v>
      </x:c>
      <x:c r="E3" s="5" t="str">
        <x:v>Owner</x:v>
      </x:c>
      <x:c r="F3" s="5" t="str">
        <x:v>Due Date</x:v>
      </x:c>
    </x:row>
    <x:row r="4">
      <x:c r="A4" s="33" t="str">
        <x:v>Basis of Estimate</x:v>
      </x:c>
      <x:c r="B4" s="33" t="str">
        <x:v>Included</x:v>
      </x:c>
      <x:c r="C4" s="33" t="str">
        <x:v>Sample estimate created for project pricing practice and estimator workflow.</x:v>
      </x:c>
      <x:c r="D4" s="33" t="str">
        <x:v>Medium</x:v>
      </x:c>
      <x:c r="E4" s="33" t="str">
        <x:v>Estimator</x:v>
      </x:c>
      <x:c r="F4" s="40" t="n">
        <x:v>46166</x:v>
      </x:c>
    </x:row>
    <x:row r="5">
      <x:c r="A5" s="33" t="str">
        <x:v>Plans and Specs</x:v>
      </x:c>
      <x:c r="B5" s="33" t="str">
        <x:v>Included</x:v>
      </x:c>
      <x:c r="C5" s="33" t="str">
        <x:v>Quantities are based on assumed preliminary takeoff data. Verify against final drawings.</x:v>
      </x:c>
      <x:c r="D5" s="33" t="str">
        <x:v>High</x:v>
      </x:c>
      <x:c r="E5" s="33" t="str">
        <x:v>Estimator</x:v>
      </x:c>
      <x:c r="F5" s="40" t="n">
        <x:v>46170</x:v>
      </x:c>
    </x:row>
    <x:row r="6">
      <x:c r="A6" s="33" t="str">
        <x:v>Permit Fees</x:v>
      </x:c>
      <x:c r="B6" s="33" t="str">
        <x:v>Included</x:v>
      </x:c>
      <x:c r="C6" s="33" t="str">
        <x:v>Permit allowance included unless specifically noted by line item.</x:v>
      </x:c>
      <x:c r="D6" s="33" t="str">
        <x:v>Medium</x:v>
      </x:c>
      <x:c r="E6" s="33" t="str">
        <x:v>PM</x:v>
      </x:c>
      <x:c r="F6" s="40" t="n">
        <x:v>46174</x:v>
      </x:c>
    </x:row>
    <x:row r="7">
      <x:c r="A7" s="33" t="str">
        <x:v>Utility Company Fees</x:v>
      </x:c>
      <x:c r="B7" s="33" t="str">
        <x:v>Excluded</x:v>
      </x:c>
      <x:c r="C7" s="33" t="str">
        <x:v>Direct utility fees are excluded unless vendor quote states otherwise.</x:v>
      </x:c>
      <x:c r="D7" s="33" t="str">
        <x:v>High</x:v>
      </x:c>
      <x:c r="E7" s="33" t="str">
        <x:v>Owner</x:v>
      </x:c>
      <x:c r="F7" s="40" t="n">
        <x:v>46178</x:v>
      </x:c>
    </x:row>
    <x:row r="8">
      <x:c r="A8" s="33" t="str">
        <x:v>Overtime Work</x:v>
      </x:c>
      <x:c r="B8" s="33" t="str">
        <x:v>Excluded</x:v>
      </x:c>
      <x:c r="C8" s="33" t="str">
        <x:v>Assumes normal working hours and standard sequencing.</x:v>
      </x:c>
      <x:c r="D8" s="33" t="str">
        <x:v>Medium</x:v>
      </x:c>
      <x:c r="E8" s="33" t="str">
        <x:v>PM</x:v>
      </x:c>
      <x:c r="F8" s="40" t="n">
        <x:v>46181</x:v>
      </x:c>
    </x:row>
    <x:row r="9">
      <x:c r="A9" s="33" t="str">
        <x:v>Tax and Markup</x:v>
      </x:c>
      <x:c r="B9" s="33" t="str">
        <x:v>Included</x:v>
      </x:c>
      <x:c r="C9" s="33" t="str">
        <x:v>Rates are controlled by the Rates &amp; Assumptions sheet.</x:v>
      </x:c>
      <x:c r="D9" s="33" t="str">
        <x:v>Low</x:v>
      </x:c>
      <x:c r="E9" s="33" t="str">
        <x:v>Estimator</x:v>
      </x:c>
      <x:c r="F9" s="40" t="n">
        <x:v>46164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5" t="str">
        <x:v>Status</x:v>
      </x:c>
      <x:c r="B1" s="5"/>
      <x:c r="C1" s="5" t="str">
        <x:v>Quote Status</x:v>
      </x:c>
    </x:row>
    <x:row r="2">
      <x:c r="A2" t="str">
        <x:v>In Scope</x:v>
      </x:c>
      <x:c r="C2" t="str">
        <x:v>Received</x:v>
      </x:c>
    </x:row>
    <x:row r="3">
      <x:c r="A3" t="str">
        <x:v>Allowance</x:v>
      </x:c>
      <x:c r="C3" t="str">
        <x:v>Pending</x:v>
      </x:c>
    </x:row>
    <x:row r="4">
      <x:c r="A4" t="str">
        <x:v>Sub Quote</x:v>
      </x:c>
      <x:c r="C4" t="str">
        <x:v>Budget</x:v>
      </x:c>
    </x:row>
    <x:row r="5">
      <x:c r="A5" t="str">
        <x:v>Excluded</x:v>
      </x:c>
      <x:c r="C5" t="str">
        <x:v>Rejected</x:v>
      </x:c>
    </x:row>
    <x:row r="6">
      <x:c r="A6" t="str">
        <x:v>Pending</x:v>
      </x:c>
      <x:c r="C6" t="str">
        <x:v>Need Clarification</x:v>
      </x:c>
    </x:row>
    <x:row r="7">
      <x:c r="A7" t="str">
        <x:v>Budget</x:v>
      </x:c>
    </x:row>
  </x:sheetData>
  <x:pageMargins left="0.7" right="0.7" top="0.75" bottom="0.75" header="0.3" footer="0.3"/>
</x:worksheet>
</file>