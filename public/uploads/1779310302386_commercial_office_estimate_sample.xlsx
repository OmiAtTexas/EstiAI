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629556747ee4a6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Estimate Summary" sheetId="1" r:id="Rce7decad9f5449ea"/>
    <x:sheet xmlns:r="http://schemas.openxmlformats.org/officeDocument/2006/relationships" name="Detailed Estimate" sheetId="2" r:id="R191e481ec09a44cb"/>
    <x:sheet xmlns:r="http://schemas.openxmlformats.org/officeDocument/2006/relationships" name="Rates &amp; Assumptions" sheetId="3" r:id="R8690a5b625ba419f"/>
    <x:sheet xmlns:r="http://schemas.openxmlformats.org/officeDocument/2006/relationships" name="Vendor Quotes" sheetId="4" r:id="R85e9ffb931e04d13"/>
    <x:sheet xmlns:r="http://schemas.openxmlformats.org/officeDocument/2006/relationships" name="Scope Notes" sheetId="5" r:id="R1222631485d34309"/>
    <x:sheet xmlns:r="http://schemas.openxmlformats.org/officeDocument/2006/relationships" name="Lists" sheetId="6" r:id="Rccad9377cb9746d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mm/dd/yyyy"/>
    <x:numFmt numFmtId="201" formatCode="0.0%"/>
    <x:numFmt numFmtId="202" formatCode="#,##0.00"/>
    <x:numFmt numFmtId="203" formatCode="$#,##0.00"/>
  </x:numFmts>
  <x:fonts count="5">
    <x:font>
      <x:sz val="11"/>
      <x:name val="Carlito"/>
    </x:font>
    <x:font>
      <x:b/>
      <x:sz val="11"/>
      <x:color rgb="FFFFFF"/>
      <x:name val="Carlito"/>
    </x:font>
    <x:font>
      <x:b/>
      <x:sz val="16"/>
      <x:color rgb="FFFFFF"/>
      <x:name val="Carlito"/>
    </x:font>
    <x:font>
      <x:b/>
      <x:sz val="11"/>
      <x:color rgb="0B1F33"/>
      <x:name val="Carlito"/>
    </x:font>
    <x:font>
      <x:b/>
      <x:sz val="11"/>
      <x:name val="Carlito"/>
    </x:font>
  </x:fonts>
  <x:fills count="6">
    <x:fill>
      <x:patternFill patternType="none"/>
    </x:fill>
    <x:fill>
      <x:patternFill patternType="gray125"/>
    </x:fill>
    <x:fill>
      <x:patternFill patternType="solid">
        <x:fgColor rgb="1F4E78"/>
      </x:patternFill>
    </x:fill>
    <x:fill>
      <x:patternFill patternType="solid">
        <x:fgColor rgb="0B1F33"/>
      </x:patternFill>
    </x:fill>
    <x:fill>
      <x:patternFill patternType="solid">
        <x:fgColor rgb="D9EAF7"/>
      </x:patternFill>
    </x:fill>
    <x:fill>
      <x:patternFill patternType="solid">
        <x:fgColor rgb="FFF2CC"/>
      </x:patternFill>
    </x:fill>
  </x:fills>
  <x:borders count="4">
    <x:border/>
    <x:border/>
    <x:border>
      <x:bottom>
        <x:color rgb="000000"/>
      </x:bottom>
    </x:border>
    <x:border>
      <x:bottom>
        <x:color rgb="000000"/>
      </x:bottom>
    </x:border>
  </x:borders>
  <x:cellStyleXfs count="1">
    <x:xf numFmtId="0" fontId="0" fillId="0" borderId="0"/>
  </x:cellStyleXfs>
  <x:cellXfs count="65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horizontal="center"/>
    </x:xf>
    <x:xf numFmtId="0" fontId="2" fillId="3" borderId="0" xfId="0" applyNumberFormat="1" applyFont="1" applyFill="1" applyBorder="1" applyAlignment="1">
      <x:alignment horizontal="center" vertical="center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horizontal="center"/>
    </x:xf>
    <x:xf numFmtId="0" fontId="2" fillId="3" borderId="1" xfId="0" applyNumberFormat="1" applyFont="1" applyFill="1" applyBorder="1" applyAlignment="1">
      <x:alignment horizontal="center" vertical="center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horizontal="center"/>
    </x:xf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horizontal="center"/>
    </x:xf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201" fontId="0" fillId="0" borderId="0" xfId="0" applyNumberFormat="1" applyFont="1" applyFill="1" applyBorder="1"/>
    <x:xf numFmtId="201" fontId="0" fillId="0" borderId="1" xfId="0" applyNumberFormat="1" applyFont="1" applyFill="1" applyBorder="1"/>
    <x:xf numFmtId="202" fontId="0" fillId="0" borderId="0" xfId="0" applyNumberFormat="1" applyFont="1" applyFill="1" applyBorder="1"/>
    <x:xf numFmtId="202" fontId="0" fillId="0" borderId="1" xfId="0" applyNumberFormat="1" applyFont="1" applyFill="1" applyBorder="1"/>
    <x:xf numFmtId="203" fontId="0" fillId="0" borderId="0" xfId="0" applyNumberFormat="1" applyFont="1" applyFill="1" applyBorder="1"/>
    <x:xf numFmtId="203" fontId="0" fillId="0" borderId="1" xfId="0" applyNumberFormat="1" applyFont="1" applyFill="1" applyBorder="1"/>
    <x:xf numFmtId="0" fontId="1" fillId="2" borderId="0" xfId="0" applyNumberFormat="1" applyFont="1" applyFill="1" applyBorder="1" applyAlignment="1">
      <x:alignment horizontal="center" vertic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202" fontId="0" fillId="0" borderId="0" xfId="0" applyNumberFormat="1" applyFont="1" applyFill="1" applyBorder="1" applyAlignment="1">
      <x:alignment wrapText="1"/>
    </x:xf>
    <x:xf numFmtId="203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202" fontId="0" fillId="0" borderId="1" xfId="0" applyNumberFormat="1" applyFont="1" applyFill="1" applyBorder="1" applyAlignment="1">
      <x:alignment wrapText="1"/>
    </x:xf>
    <x:xf numFmtId="203" fontId="0" fillId="0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top" wrapText="1"/>
    </x:xf>
    <x:xf numFmtId="202" fontId="0" fillId="0" borderId="0" xfId="0" applyNumberFormat="1" applyFont="1" applyFill="1" applyBorder="1" applyAlignment="1">
      <x:alignment vertical="top" wrapText="1"/>
    </x:xf>
    <x:xf numFmtId="203" fontId="0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 applyAlignment="1">
      <x:alignment vertical="top" wrapText="1"/>
    </x:xf>
    <x:xf numFmtId="202" fontId="0" fillId="0" borderId="1" xfId="0" applyNumberFormat="1" applyFont="1" applyFill="1" applyBorder="1" applyAlignment="1">
      <x:alignment vertical="top" wrapText="1"/>
    </x:xf>
    <x:xf numFmtId="203" fontId="0" fillId="0" borderId="1" xfId="0" applyNumberFormat="1" applyFont="1" applyFill="1" applyBorder="1" applyAlignment="1">
      <x:alignment vertical="top" wrapText="1"/>
    </x:xf>
    <x:xf numFmtId="200" fontId="0" fillId="0" borderId="0" xfId="0" applyNumberFormat="1" applyFont="1" applyFill="1" applyBorder="1" applyAlignment="1">
      <x:alignment wrapText="1"/>
    </x:xf>
    <x:xf numFmtId="200" fontId="0" fillId="0" borderId="1" xfId="0" applyNumberFormat="1" applyFont="1" applyFill="1" applyBorder="1" applyAlignment="1">
      <x:alignment wrapText="1"/>
    </x:xf>
    <x:xf numFmtId="0" fontId="0" fillId="5" borderId="0" xfId="0" applyNumberFormat="1" applyFont="1" applyFill="1" applyBorder="1"/>
    <x:xf numFmtId="203" fontId="0" fillId="5" borderId="0" xfId="0" applyNumberFormat="1" applyFont="1" applyFill="1" applyBorder="1"/>
    <x:xf numFmtId="0" fontId="4" fillId="5" borderId="0" xfId="0" applyNumberFormat="1" applyFont="1" applyFill="1" applyBorder="1"/>
    <x:xf numFmtId="203" fontId="4" fillId="5" borderId="0" xfId="0" applyNumberFormat="1" applyFont="1" applyFill="1" applyBorder="1"/>
    <x:xf numFmtId="0" fontId="4" fillId="5" borderId="2" xfId="0" applyNumberFormat="1" applyFont="1" applyFill="1" applyBorder="1"/>
    <x:xf numFmtId="203" fontId="4" fillId="5" borderId="2" xfId="0" applyNumberFormat="1" applyFont="1" applyFill="1" applyBorder="1"/>
    <x:xf numFmtId="0" fontId="0" fillId="5" borderId="1" xfId="0" applyNumberFormat="1" applyFont="1" applyFill="1" applyBorder="1"/>
    <x:xf numFmtId="203" fontId="0" fillId="5" borderId="1" xfId="0" applyNumberFormat="1" applyFont="1" applyFill="1" applyBorder="1"/>
    <x:xf numFmtId="0" fontId="4" fillId="5" borderId="1" xfId="0" applyNumberFormat="1" applyFont="1" applyFill="1" applyBorder="1"/>
    <x:xf numFmtId="203" fontId="4" fillId="5" borderId="1" xfId="0" applyNumberFormat="1" applyFont="1" applyFill="1" applyBorder="1"/>
    <x:xf numFmtId="0" fontId="4" fillId="5" borderId="3" xfId="0" applyNumberFormat="1" applyFont="1" applyFill="1" applyBorder="1"/>
    <x:xf numFmtId="203" fontId="4" fillId="5" borderId="3" xfId="0" applyNumberFormat="1" applyFont="1" applyFill="1" applyBorder="1"/>
    <x:xf numFmtId="0" fontId="2" fillId="3" borderId="0" xfId="0" applyNumberFormat="1" applyFont="1" applyFill="1" applyBorder="1" applyAlignment="1">
      <x:alignment horizontal="center" vertical="center" wrapText="1"/>
    </x:xf>
    <x:xf numFmtId="0" fontId="3" fillId="4" borderId="0" xfId="0" applyNumberFormat="1" applyFont="1" applyFill="1" applyBorder="1" applyAlignment="1">
      <x:alignment horizontal="center" wrapText="1"/>
    </x:xf>
    <x:xf numFmtId="201" fontId="0" fillId="0" borderId="0" xfId="0" applyNumberFormat="1" applyFont="1" applyFill="1" applyBorder="1" applyAlignment="1">
      <x:alignment wrapText="1"/>
    </x:xf>
    <x:xf numFmtId="0" fontId="4" fillId="5" borderId="2" xfId="0" applyNumberFormat="1" applyFont="1" applyFill="1" applyBorder="1" applyAlignment="1">
      <x:alignment wrapText="1"/>
    </x:xf>
    <x:xf numFmtId="203" fontId="4" fillId="5" borderId="2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98aa37e59544486" /><Relationship Type="http://schemas.openxmlformats.org/officeDocument/2006/relationships/theme" Target="/xl/theme/theme1.xml" Id="Re04a4d2b8bb84a6c" /><Relationship Type="http://schemas.openxmlformats.org/officeDocument/2006/relationships/sharedStrings" Target="/xl/sharedStrings.xml" Id="Rf1021c5620f34b11" /><Relationship Type="http://schemas.openxmlformats.org/officeDocument/2006/relationships/worksheet" Target="/xl/worksheets/sheet1.xml" Id="Rce7decad9f5449ea" /><Relationship Type="http://schemas.openxmlformats.org/officeDocument/2006/relationships/worksheet" Target="/xl/worksheets/sheet2.xml" Id="R191e481ec09a44cb" /><Relationship Type="http://schemas.openxmlformats.org/officeDocument/2006/relationships/worksheet" Target="/xl/worksheets/sheet3.xml" Id="R8690a5b625ba419f" /><Relationship Type="http://schemas.openxmlformats.org/officeDocument/2006/relationships/worksheet" Target="/xl/worksheets/sheet4.xml" Id="R85e9ffb931e04d13" /><Relationship Type="http://schemas.openxmlformats.org/officeDocument/2006/relationships/worksheet" Target="/xl/worksheets/sheet5.xml" Id="R1222631485d34309" /><Relationship Type="http://schemas.openxmlformats.org/officeDocument/2006/relationships/worksheet" Target="/xl/worksheets/sheet6.xml" Id="Rccad9377cb9746d6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4c222899e7ba4367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/>
              <a:t>Direct Cost by Division</a:t>
            </a:r>
          </a:p>
        </c:rich>
      </c:tx>
      <c:overlay val="0"/>
    </c:title>
    <c:autoTitleDeleted val="0"/>
    <c:plotArea>
      <c:layout/>
      <c:barChart>
        <c:barDir val="col"/>
        <c:varyColors val="0"/>
        <c:ser>
          <c:idx val="0"/>
          <c:order val="0"/>
          <c:tx>
            <c:v>Direct Cost</c:v>
          </c:tx>
          <c:cat>
            <c:strRef>
              <c:f>'Estimate Summary'!$A$14:$A$24</c:f>
              <c:strCache>
                <c:ptCount val="0"/>
              </c:strCache>
            </c:strRef>
          </c:cat>
          <c:val>
            <c:numRef>
              <c:f>'Estimate Summary'!$B$14:$B$24</c:f>
              <c:numCache>
                <c:formatCode>$#,##0.00</c:formatCode>
                <c:ptCount val="0"/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"/>
        <c:majorTickMark val="none"/>
        <c:minorTickMark val="none"/>
        <c:tickLblPos val="nextTo"/>
        <c:crossAx val="48672768"/>
        <c:crosses val="autoZero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"/>
        <c:majorTickMark val="none"/>
        <c:minorTickMark val="none"/>
        <c:crossAx val="48650112"/>
        <c:crosses val="autoZero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5</xdr:col>
      <xdr:colOff>0</xdr:colOff>
      <xdr:row>12</xdr:row>
      <xdr:rowOff>0</xdr:rowOff>
    </xdr:from>
    <xdr:to>
      <xdr:col>12</xdr:col>
      <xdr:colOff>0</xdr:colOff>
      <xdr:row>28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4c222899e7ba4367"/>
        </a:graphicData>
      </a:graphic>
    </xdr:graphicFrame>
    <xdr:clientData/>
  </xdr:twoCellAnchor>
</xdr:wsDr>
</file>

<file path=xl/tables/table1.xml><?xml version="1.0" encoding="utf-8"?>
<x:table xmlns:x="http://schemas.openxmlformats.org/spreadsheetml/2006/main" id="4" name="DivisionSummary" displayName="DivisionSummary" ref="A13:D24" headerRowCount="1">
  <x:tableColumns count="4">
    <x:tableColumn id="1" name="Division"/>
    <x:tableColumn id="2" name="Direct Cost"/>
    <x:tableColumn id="3" name="% of Direct"/>
    <x:tableColumn id="4" name="Estimated Total"/>
  </x:tableColumns>
  <x:tableStyleInfo name="TableStyleMedium2" showRowStripes="1"/>
</x:table>
</file>

<file path=xl/tables/table2.xml><?xml version="1.0" encoding="utf-8"?>
<x:table xmlns:x="http://schemas.openxmlformats.org/spreadsheetml/2006/main" id="1" name="EstimateLineItems" displayName="EstimateLineItems" ref="A1:Q17" headerRowCount="1">
  <x:tableColumns count="17">
    <x:tableColumn id="1" name="Division"/>
    <x:tableColumn id="2" name="Description"/>
    <x:tableColumn id="3" name="Unit"/>
    <x:tableColumn id="4" name="Qty"/>
    <x:tableColumn id="5" name="Material Unit Cost"/>
    <x:tableColumn id="6" name="Labor Hours/Unit"/>
    <x:tableColumn id="7" name="Labor Rate"/>
    <x:tableColumn id="8" name="Equipment Unit Cost"/>
    <x:tableColumn id="9" name="Material Total"/>
    <x:tableColumn id="10" name="Labor Total"/>
    <x:tableColumn id="11" name="Equipment Total"/>
    <x:tableColumn id="12" name="Direct Cost"/>
    <x:tableColumn id="13" name="Contingency"/>
    <x:tableColumn id="14" name="Markup"/>
    <x:tableColumn id="15" name="Estimated Total"/>
    <x:tableColumn id="16" name="Status"/>
    <x:tableColumn id="17" name="Notes"/>
  </x:tableColumns>
  <x:tableStyleInfo name="TableStyleMedium2" showRowStripes="1"/>
</x:table>
</file>

<file path=xl/tables/table3.xml><?xml version="1.0" encoding="utf-8"?>
<x:table xmlns:x="http://schemas.openxmlformats.org/spreadsheetml/2006/main" id="2" name="VendorQuotes" displayName="VendorQuotes" ref="A1:F5" headerRowCount="1">
  <x:tableColumns count="6">
    <x:tableColumn id="1" name="Vendor/Subcontractor"/>
    <x:tableColumn id="2" name="Scope"/>
    <x:tableColumn id="3" name="Quoted Amount"/>
    <x:tableColumn id="4" name="Status"/>
    <x:tableColumn id="5" name="Date Received"/>
    <x:tableColumn id="6" name="Estimator Notes"/>
  </x:tableColumns>
  <x:tableStyleInfo name="TableStyleMedium2" showRowStripes="1"/>
</x:table>
</file>

<file path=xl/tables/table4.xml><?xml version="1.0" encoding="utf-8"?>
<x:table xmlns:x="http://schemas.openxmlformats.org/spreadsheetml/2006/main" id="3" name="ScopeNotes" displayName="ScopeNotes" ref="A3:F9" headerRowCount="1">
  <x:tableColumns count="6">
    <x:tableColumn id="1" name="Item"/>
    <x:tableColumn id="2" name="Included / Excluded"/>
    <x:tableColumn id="3" name="Description"/>
    <x:tableColumn id="4" name="Risk Level"/>
    <x:tableColumn id="5" name="Owner"/>
    <x:tableColumn id="6" name="Due Date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fa2088c1a4174d50" /><Relationship Type="http://schemas.openxmlformats.org/officeDocument/2006/relationships/table" Target="/xl/tables/table1.xml" Id="Rdbcc7b44bfaf46f2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af15fbc1a237423b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eea39d5fb707474f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24e214213afe455d" /></Relationships>
</file>

<file path=xl/worksheets/sheet1.xml><?xml version="1.0" encoding="utf-8"?>
<x:worksheet xmlns:x="http://schemas.openxmlformats.org/spreadsheetml/2006/main">
  <x:sheetFormatPr defaultRowHeight="15"/>
  <x:cols>
    <x:col min="1" max="1" width="20" hidden="0" customWidth="1"/>
    <x:col min="2" max="2" width="22" hidden="0" customWidth="1"/>
    <x:col min="3" max="3" width="15" hidden="0" customWidth="1"/>
    <x:col min="4" max="4" width="22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</x:cols>
  <x:sheetData>
    <x:row r="1">
      <x:c r="A1" s="60" t="str">
        <x:v>Commercial Office Renovation Estimate</x:v>
      </x:c>
      <x:c r="B1" s="34"/>
      <x:c r="C1" s="34"/>
      <x:c r="D1" s="34"/>
      <x:c r="E1" s="34"/>
      <x:c r="F1" s="34"/>
      <x:c r="G1" s="34"/>
      <x:c r="H1" s="34"/>
    </x:row>
    <x:row r="2">
      <x:c r="A2" s="34"/>
      <x:c r="B2" s="34"/>
      <x:c r="C2" s="34"/>
      <x:c r="D2" s="34"/>
      <x:c r="E2" s="34"/>
      <x:c r="F2" s="34"/>
      <x:c r="G2" s="34"/>
      <x:c r="H2" s="34"/>
    </x:row>
    <x:row r="3">
      <x:c r="A3" s="61" t="str">
        <x:v>Client</x:v>
      </x:c>
      <x:c r="B3" s="34" t="str">
        <x:v>Redstone Property Group</x:v>
      </x:c>
      <x:c r="C3" s="34"/>
      <x:c r="D3" s="32" t="str">
        <x:v>Cost Category</x:v>
      </x:c>
      <x:c r="E3" s="32" t="str">
        <x:v>Amount</x:v>
      </x:c>
      <x:c r="F3" s="34"/>
      <x:c r="G3" s="34"/>
      <x:c r="H3" s="34"/>
    </x:row>
    <x:row r="4">
      <x:c r="A4" s="61" t="str">
        <x:v>Location</x:v>
      </x:c>
      <x:c r="B4" s="34" t="str">
        <x:v>Lubbock, TX</x:v>
      </x:c>
      <x:c r="C4" s="34"/>
      <x:c r="D4" s="34" t="str">
        <x:v>Material Total</x:v>
      </x:c>
      <x:c r="E4" s="36" t="n">
        <x:f>SUM('Detailed Estimate'!I2:I17)</x:f>
        <x:v>450372.5</x:v>
      </x:c>
      <x:c r="F4" s="34"/>
      <x:c r="G4" s="34"/>
      <x:c r="H4" s="34"/>
    </x:row>
    <x:row r="5">
      <x:c r="A5" s="61" t="str">
        <x:v>Estimator</x:v>
      </x:c>
      <x:c r="B5" s="34" t="str">
        <x:v>Sample Estimator</x:v>
      </x:c>
      <x:c r="C5" s="34"/>
      <x:c r="D5" s="34" t="str">
        <x:v>Labor Total</x:v>
      </x:c>
      <x:c r="E5" s="36" t="n">
        <x:f>SUM('Detailed Estimate'!J2:J17)</x:f>
        <x:v>471366</x:v>
      </x:c>
      <x:c r="F5" s="34"/>
      <x:c r="G5" s="34"/>
      <x:c r="H5" s="34"/>
    </x:row>
    <x:row r="6">
      <x:c r="A6" s="61" t="str">
        <x:v>Estimate Date</x:v>
      </x:c>
      <x:c r="B6" s="46" t="n">
        <x:v>46162</x:v>
      </x:c>
      <x:c r="C6" s="34"/>
      <x:c r="D6" s="34" t="str">
        <x:v>Equipment Total</x:v>
      </x:c>
      <x:c r="E6" s="36" t="n">
        <x:f>SUM('Detailed Estimate'!K2:K17)</x:f>
        <x:v>14936</x:v>
      </x:c>
      <x:c r="F6" s="34"/>
      <x:c r="G6" s="34"/>
      <x:c r="H6" s="34"/>
    </x:row>
    <x:row r="7">
      <x:c r="A7" s="61" t="str">
        <x:v>Planned Start</x:v>
      </x:c>
      <x:c r="B7" s="46" t="n">
        <x:v>46188</x:v>
      </x:c>
      <x:c r="C7" s="34"/>
      <x:c r="D7" s="34" t="str">
        <x:v>Direct Cost</x:v>
      </x:c>
      <x:c r="E7" s="36" t="n">
        <x:f>SUM('Detailed Estimate'!L2:L17)</x:f>
        <x:v>936674.5</x:v>
      </x:c>
      <x:c r="F7" s="34"/>
      <x:c r="G7" s="34"/>
      <x:c r="H7" s="34"/>
    </x:row>
    <x:row r="8">
      <x:c r="A8" s="61" t="str">
        <x:v>Duration Days</x:v>
      </x:c>
      <x:c r="B8" s="34" t="n">
        <x:v>84</x:v>
      </x:c>
      <x:c r="C8" s="34"/>
      <x:c r="D8" s="34" t="str">
        <x:v>Contingency</x:v>
      </x:c>
      <x:c r="E8" s="36" t="n">
        <x:f>SUM('Detailed Estimate'!M2:M17)</x:f>
        <x:v>65567.21500000001</x:v>
      </x:c>
      <x:c r="F8" s="34"/>
      <x:c r="G8" s="34"/>
      <x:c r="H8" s="34"/>
    </x:row>
    <x:row r="9">
      <x:c r="A9" s="61" t="str">
        <x:v>Markup %</x:v>
      </x:c>
      <x:c r="B9" s="62" t="n">
        <x:v>0.12</x:v>
      </x:c>
      <x:c r="C9" s="34"/>
      <x:c r="D9" s="34" t="str">
        <x:v>Markup</x:v>
      </x:c>
      <x:c r="E9" s="36" t="n">
        <x:f>SUM('Detailed Estimate'!N2:N17)</x:f>
        <x:v>112400.94</x:v>
      </x:c>
      <x:c r="F9" s="34"/>
      <x:c r="G9" s="34"/>
      <x:c r="H9" s="34"/>
    </x:row>
    <x:row r="10">
      <x:c r="A10" s="61" t="str">
        <x:v>Contingency %</x:v>
      </x:c>
      <x:c r="B10" s="62" t="n">
        <x:v>0.07</x:v>
      </x:c>
      <x:c r="C10" s="34"/>
      <x:c r="D10" s="63" t="str">
        <x:v>Grand Total</x:v>
      </x:c>
      <x:c r="E10" s="64" t="n">
        <x:f>SUM('Detailed Estimate'!O2:O17)</x:f>
        <x:v>1114642.6549999998</x:v>
      </x:c>
      <x:c r="F10" s="34"/>
      <x:c r="G10" s="34"/>
      <x:c r="H10" s="34"/>
    </x:row>
    <x:row r="11">
      <x:c r="A11" s="34"/>
      <x:c r="B11" s="34"/>
      <x:c r="C11" s="34"/>
      <x:c r="D11" s="34"/>
      <x:c r="E11" s="34"/>
      <x:c r="F11" s="34"/>
      <x:c r="G11" s="34"/>
      <x:c r="H11" s="34"/>
    </x:row>
    <x:row r="12">
      <x:c r="A12" s="34"/>
      <x:c r="B12" s="34"/>
      <x:c r="C12" s="34"/>
      <x:c r="D12" s="34"/>
      <x:c r="E12" s="34"/>
      <x:c r="F12" s="34"/>
      <x:c r="G12" s="34"/>
      <x:c r="H12" s="34"/>
    </x:row>
    <x:row r="13">
      <x:c r="A13" s="32" t="str">
        <x:v>Division</x:v>
      </x:c>
      <x:c r="B13" s="32" t="str">
        <x:v>Direct Cost</x:v>
      </x:c>
      <x:c r="C13" s="32" t="str">
        <x:v>% of Direct</x:v>
      </x:c>
      <x:c r="D13" s="32" t="str">
        <x:v>Estimated Total</x:v>
      </x:c>
      <x:c r="E13" s="34"/>
      <x:c r="F13" s="34"/>
      <x:c r="G13" s="34"/>
      <x:c r="H13" s="34"/>
    </x:row>
    <x:row r="14">
      <x:c r="A14" s="34" t="str">
        <x:v>DIV 01</x:v>
      </x:c>
      <x:c r="B14" s="36" t="n">
        <x:f>SUMIF('Detailed Estimate'!$A$2:$A$17,A14,'Detailed Estimate'!$L$2:$L$17)</x:f>
        <x:v>24010</x:v>
      </x:c>
      <x:c r="C14" s="62" t="n">
        <x:f>IF($E$7=0,0,B14/$E$7)</x:f>
        <x:v>0.0256332375868031</x:v>
      </x:c>
      <x:c r="D14" s="36" t="n">
        <x:f>SUMIF('Detailed Estimate'!$A$2:$A$17,A14,'Detailed Estimate'!$O$2:$O$17)</x:f>
        <x:v>28571.9</x:v>
      </x:c>
      <x:c r="E14" s="34"/>
      <x:c r="F14" s="34"/>
      <x:c r="G14" s="34"/>
      <x:c r="H14" s="34"/>
    </x:row>
    <x:row r="15">
      <x:c r="A15" s="34" t="str">
        <x:v>DIV 02</x:v>
      </x:c>
      <x:c r="B15" s="36" t="n">
        <x:f>SUMIF('Detailed Estimate'!$A$2:$A$17,A15,'Detailed Estimate'!$L$2:$L$17)</x:f>
        <x:v>211640</x:v>
      </x:c>
      <x:c r="C15" s="62" t="n">
        <x:f>IF($E$7=0,0,B15/$E$7)</x:f>
        <x:v>0.22594828833282</x:v>
      </x:c>
      <x:c r="D15" s="36" t="n">
        <x:f>SUMIF('Detailed Estimate'!$A$2:$A$17,A15,'Detailed Estimate'!$O$2:$O$17)</x:f>
        <x:v>251851.59999999998</x:v>
      </x:c>
      <x:c r="E15" s="34"/>
      <x:c r="F15" s="34"/>
      <x:c r="G15" s="34"/>
      <x:c r="H15" s="34"/>
    </x:row>
    <x:row r="16">
      <x:c r="A16" s="34" t="str">
        <x:v>DIV 03</x:v>
      </x:c>
      <x:c r="B16" s="36" t="n">
        <x:f>SUMIF('Detailed Estimate'!$A$2:$A$17,A16,'Detailed Estimate'!$L$2:$L$17)</x:f>
        <x:v>15000.5</x:v>
      </x:c>
      <x:c r="C16" s="62" t="n">
        <x:f>IF($E$7=0,0,B16/$E$7)</x:f>
        <x:v>0.016014634753054556</x:v>
      </x:c>
      <x:c r="D16" s="36" t="n">
        <x:f>SUMIF('Detailed Estimate'!$A$2:$A$17,A16,'Detailed Estimate'!$O$2:$O$17)</x:f>
        <x:v>17850.595</x:v>
      </x:c>
      <x:c r="E16" s="34"/>
      <x:c r="F16" s="34"/>
      <x:c r="G16" s="34"/>
      <x:c r="H16" s="34"/>
    </x:row>
    <x:row r="17">
      <x:c r="A17" s="34" t="str">
        <x:v>DIV 06</x:v>
      </x:c>
      <x:c r="B17" s="36" t="n">
        <x:f>SUMIF('Detailed Estimate'!$A$2:$A$17,A17,'Detailed Estimate'!$L$2:$L$17)</x:f>
        <x:v>17535</x:v>
      </x:c>
      <x:c r="C17" s="62" t="n">
        <x:f>IF($E$7=0,0,B17/$E$7)</x:f>
        <x:v>0.018720484010187104</x:v>
      </x:c>
      <x:c r="D17" s="36" t="n">
        <x:f>SUMIF('Detailed Estimate'!$A$2:$A$17,A17,'Detailed Estimate'!$O$2:$O$17)</x:f>
        <x:v>20866.65</x:v>
      </x:c>
      <x:c r="E17" s="34"/>
      <x:c r="F17" s="34"/>
      <x:c r="G17" s="34"/>
      <x:c r="H17" s="34"/>
    </x:row>
    <x:row r="18">
      <x:c r="A18" s="34" t="str">
        <x:v>DIV 08</x:v>
      </x:c>
      <x:c r="B18" s="36" t="n">
        <x:f>SUMIF('Detailed Estimate'!$A$2:$A$17,A18,'Detailed Estimate'!$L$2:$L$17)</x:f>
        <x:v>31659.6</x:v>
      </x:c>
      <x:c r="C18" s="62" t="n">
        <x:f>IF($E$7=0,0,B18/$E$7)</x:f>
        <x:v>0.033800002028452784</x:v>
      </x:c>
      <x:c r="D18" s="36" t="n">
        <x:f>SUMIF('Detailed Estimate'!$A$2:$A$17,A18,'Detailed Estimate'!$O$2:$O$17)</x:f>
        <x:v>37674.924</x:v>
      </x:c>
      <x:c r="E18" s="34"/>
      <x:c r="F18" s="34"/>
      <x:c r="G18" s="34"/>
      <x:c r="H18" s="34"/>
    </x:row>
    <x:row r="19">
      <x:c r="A19" s="34" t="str">
        <x:v>DIV 09</x:v>
      </x:c>
      <x:c r="B19" s="36" t="n">
        <x:f>SUMIF('Detailed Estimate'!$A$2:$A$17,A19,'Detailed Estimate'!$L$2:$L$17)</x:f>
        <x:v>495428</x:v>
      </x:c>
      <x:c r="C19" s="62" t="n">
        <x:f>IF($E$7=0,0,B19/$E$7)</x:f>
        <x:v>0.5289222670201869</x:v>
      </x:c>
      <x:c r="D19" s="36" t="n">
        <x:f>SUMIF('Detailed Estimate'!$A$2:$A$17,A19,'Detailed Estimate'!$O$2:$O$17)</x:f>
        <x:v>589559.32</x:v>
      </x:c>
      <x:c r="E19" s="34"/>
      <x:c r="F19" s="34"/>
      <x:c r="G19" s="34"/>
      <x:c r="H19" s="34"/>
    </x:row>
    <x:row r="20">
      <x:c r="A20" s="34" t="str">
        <x:v>DIV 10</x:v>
      </x:c>
      <x:c r="B20" s="36" t="n">
        <x:f>SUMIF('Detailed Estimate'!$A$2:$A$17,A20,'Detailed Estimate'!$L$2:$L$17)</x:f>
        <x:v>10974</x:v>
      </x:c>
      <x:c r="C20" s="62" t="n">
        <x:f>IF($E$7=0,0,B20/$E$7)</x:f>
        <x:v>0.011715916254792886</x:v>
      </x:c>
      <x:c r="D20" s="36" t="n">
        <x:f>SUMIF('Detailed Estimate'!$A$2:$A$17,A20,'Detailed Estimate'!$O$2:$O$17)</x:f>
        <x:v>13059.06</x:v>
      </x:c>
      <x:c r="E20" s="34"/>
      <x:c r="F20" s="34"/>
      <x:c r="G20" s="34"/>
      <x:c r="H20" s="34"/>
    </x:row>
    <x:row r="21">
      <x:c r="A21" s="34" t="str">
        <x:v>DIV 21</x:v>
      </x:c>
      <x:c r="B21" s="36" t="n">
        <x:f>SUMIF('Detailed Estimate'!$A$2:$A$17,A21,'Detailed Estimate'!$L$2:$L$17)</x:f>
        <x:v>30888</x:v>
      </x:c>
      <x:c r="C21" s="62" t="n">
        <x:f>IF($E$7=0,0,B21/$E$7)</x:f>
        <x:v>0.032976236675600755</x:v>
      </x:c>
      <x:c r="D21" s="36" t="n">
        <x:f>SUMIF('Detailed Estimate'!$A$2:$A$17,A21,'Detailed Estimate'!$O$2:$O$17)</x:f>
        <x:v>36756.72</x:v>
      </x:c>
      <x:c r="E21" s="34"/>
      <x:c r="F21" s="34"/>
      <x:c r="G21" s="34"/>
      <x:c r="H21" s="34"/>
    </x:row>
    <x:row r="22">
      <x:c r="A22" s="34" t="str">
        <x:v>DIV 22</x:v>
      </x:c>
      <x:c r="B22" s="36" t="n">
        <x:f>SUMIF('Detailed Estimate'!$A$2:$A$17,A22,'Detailed Estimate'!$L$2:$L$17)</x:f>
        <x:v>21240</x:v>
      </x:c>
      <x:c r="C22" s="62" t="n">
        <x:f>IF($E$7=0,0,B22/$E$7)</x:f>
        <x:v>0.022675966944760425</x:v>
      </x:c>
      <x:c r="D22" s="36" t="n">
        <x:f>SUMIF('Detailed Estimate'!$A$2:$A$17,A22,'Detailed Estimate'!$O$2:$O$17)</x:f>
        <x:v>25275.6</x:v>
      </x:c>
      <x:c r="E22" s="34"/>
      <x:c r="F22" s="34"/>
      <x:c r="G22" s="34"/>
      <x:c r="H22" s="34"/>
    </x:row>
    <x:row r="23">
      <x:c r="A23" s="34" t="str">
        <x:v>DIV 23</x:v>
      </x:c>
      <x:c r="B23" s="36" t="n">
        <x:f>SUMIF('Detailed Estimate'!$A$2:$A$17,A23,'Detailed Estimate'!$L$2:$L$17)</x:f>
        <x:v>18686.4</x:v>
      </x:c>
      <x:c r="C23" s="62" t="n">
        <x:f>IF($E$7=0,0,B23/$E$7)</x:f>
        <x:v>0.019949726399085276</x:v>
      </x:c>
      <x:c r="D23" s="36" t="n">
        <x:f>SUMIF('Detailed Estimate'!$A$2:$A$17,A23,'Detailed Estimate'!$O$2:$O$17)</x:f>
        <x:v>22236.816</x:v>
      </x:c>
      <x:c r="E23" s="34"/>
      <x:c r="F23" s="34"/>
      <x:c r="G23" s="34"/>
      <x:c r="H23" s="34"/>
    </x:row>
    <x:row r="24">
      <x:c r="A24" s="34" t="str">
        <x:v>DIV 26</x:v>
      </x:c>
      <x:c r="B24" s="36" t="n">
        <x:f>SUMIF('Detailed Estimate'!$A$2:$A$17,A24,'Detailed Estimate'!$L$2:$L$17)</x:f>
        <x:v>59613</x:v>
      </x:c>
      <x:c r="C24" s="62" t="n">
        <x:f>IF($E$7=0,0,B24/$E$7)</x:f>
        <x:v>0.06364323999425628</x:v>
      </x:c>
      <x:c r="D24" s="36" t="n">
        <x:f>SUMIF('Detailed Estimate'!$A$2:$A$17,A24,'Detailed Estimate'!$O$2:$O$17)</x:f>
        <x:v>70939.47</x:v>
      </x:c>
      <x:c r="E24" s="34"/>
      <x:c r="F24" s="34"/>
      <x:c r="G24" s="34"/>
      <x:c r="H24" s="34"/>
    </x:row>
    <x:row r="25">
      <x:c r="A25" s="34"/>
      <x:c r="B25" s="34"/>
      <x:c r="C25" s="34"/>
      <x:c r="D25" s="34"/>
      <x:c r="E25" s="34"/>
      <x:c r="F25" s="34"/>
      <x:c r="G25" s="34"/>
      <x:c r="H25" s="34"/>
    </x:row>
    <x:row r="26">
      <x:c r="A26" s="34"/>
      <x:c r="B26" s="34"/>
      <x:c r="C26" s="34"/>
      <x:c r="D26" s="34"/>
      <x:c r="E26" s="34"/>
      <x:c r="F26" s="34"/>
      <x:c r="G26" s="34"/>
      <x:c r="H26" s="34"/>
    </x:row>
    <x:row r="27">
      <x:c r="A27" s="34"/>
      <x:c r="B27" s="34"/>
      <x:c r="C27" s="34"/>
      <x:c r="D27" s="34"/>
      <x:c r="E27" s="34"/>
      <x:c r="F27" s="34"/>
      <x:c r="G27" s="34"/>
      <x:c r="H27" s="34"/>
    </x:row>
    <x:row r="28">
      <x:c r="A28" s="34"/>
      <x:c r="B28" s="34"/>
      <x:c r="C28" s="34"/>
      <x:c r="D28" s="34"/>
      <x:c r="E28" s="34"/>
      <x:c r="F28" s="34"/>
      <x:c r="G28" s="34"/>
      <x:c r="H28" s="34"/>
    </x:row>
  </x:sheetData>
  <x:mergeCells>
    <x:mergeCell ref="A1:H1"/>
  </x:mergeCells>
  <x:pageMargins left="0.7" right="0.7" top="0.75" bottom="0.75" header="0.3" footer="0.3"/>
  <x:drawing xmlns:r="http://schemas.openxmlformats.org/officeDocument/2006/relationships" r:id="Rfa2088c1a4174d50"/>
  <x:tableParts count="1">
    <x:tablePart xmlns:r="http://schemas.openxmlformats.org/officeDocument/2006/relationships" r:id="Rdbcc7b44bfaf46f2"/>
  </x:tableParts>
</x:worksheet>
</file>

<file path=xl/worksheets/sheet2.xml><?xml version="1.0" encoding="utf-8"?>
<x:worksheet xmlns:x="http://schemas.openxmlformats.org/spreadsheetml/2006/main">
  <x:sheetFormatPr defaultRowHeight="15"/>
  <x:cols>
    <x:col min="2" max="2" width="34" hidden="0" customWidth="1"/>
    <x:col min="17" max="17" width="32" hidden="0" customWidth="1"/>
    <x:col min="1" max="1" width="15" hidden="0" customWidth="1"/>
    <x:col min="3" max="3" width="15" hidden="0" customWidth="1"/>
    <x:col min="4" max="4" width="15" hidden="0" customWidth="1"/>
    <x:col min="5" max="5" width="15" hidden="0" customWidth="1"/>
    <x:col min="6" max="6" width="15" hidden="0" customWidth="1"/>
    <x:col min="7" max="7" width="15" hidden="0" customWidth="1"/>
    <x:col min="8" max="8" width="15" hidden="0" customWidth="1"/>
    <x:col min="9" max="9" width="15" hidden="0" customWidth="1"/>
    <x:col min="10" max="10" width="15" hidden="0" customWidth="1"/>
    <x:col min="11" max="11" width="15" hidden="0" customWidth="1"/>
    <x:col min="12" max="12" width="15" hidden="0" customWidth="1"/>
    <x:col min="13" max="13" width="15" hidden="0" customWidth="1"/>
    <x:col min="14" max="14" width="15" hidden="0" customWidth="1"/>
    <x:col min="15" max="15" width="15" hidden="0" customWidth="1"/>
    <x:col min="16" max="16" width="15" hidden="0" customWidth="1"/>
  </x:cols>
  <x:sheetData>
    <x:row r="1">
      <x:c r="A1" s="32" t="str">
        <x:v>Division</x:v>
      </x:c>
      <x:c r="B1" s="32" t="str">
        <x:v>Description</x:v>
      </x:c>
      <x:c r="C1" s="32" t="str">
        <x:v>Unit</x:v>
      </x:c>
      <x:c r="D1" s="32" t="str">
        <x:v>Qty</x:v>
      </x:c>
      <x:c r="E1" s="32" t="str">
        <x:v>Material Unit Cost</x:v>
      </x:c>
      <x:c r="F1" s="32" t="str">
        <x:v>Labor Hours/Unit</x:v>
      </x:c>
      <x:c r="G1" s="32" t="str">
        <x:v>Labor Rate</x:v>
      </x:c>
      <x:c r="H1" s="32" t="str">
        <x:v>Equipment Unit Cost</x:v>
      </x:c>
      <x:c r="I1" s="32" t="str">
        <x:v>Material Total</x:v>
      </x:c>
      <x:c r="J1" s="32" t="str">
        <x:v>Labor Total</x:v>
      </x:c>
      <x:c r="K1" s="32" t="str">
        <x:v>Equipment Total</x:v>
      </x:c>
      <x:c r="L1" s="32" t="str">
        <x:v>Direct Cost</x:v>
      </x:c>
      <x:c r="M1" s="32" t="str">
        <x:v>Contingency</x:v>
      </x:c>
      <x:c r="N1" s="32" t="str">
        <x:v>Markup</x:v>
      </x:c>
      <x:c r="O1" s="32" t="str">
        <x:v>Estimated Total</x:v>
      </x:c>
      <x:c r="P1" s="32" t="str">
        <x:v>Status</x:v>
      </x:c>
      <x:c r="Q1" s="32" t="str">
        <x:v>Notes</x:v>
      </x:c>
    </x:row>
    <x:row r="2">
      <x:c r="A2" s="40" t="str">
        <x:v>DIV 01</x:v>
      </x:c>
      <x:c r="B2" s="40" t="str">
        <x:v>Mobilization</x:v>
      </x:c>
      <x:c r="C2" s="40" t="str">
        <x:v>LS</x:v>
      </x:c>
      <x:c r="D2" s="41" t="n">
        <x:v>1</x:v>
      </x:c>
      <x:c r="E2" s="42" t="n">
        <x:v>18500</x:v>
      </x:c>
      <x:c r="F2" s="40" t="n">
        <x:v>42</x:v>
      </x:c>
      <x:c r="G2" s="42" t="n">
        <x:v>55</x:v>
      </x:c>
      <x:c r="H2" s="42" t="n">
        <x:v>3200</x:v>
      </x:c>
      <x:c r="I2" s="42" t="n">
        <x:f>D2*E2</x:f>
        <x:v>18500</x:v>
      </x:c>
      <x:c r="J2" s="42" t="n">
        <x:f>D2*F2*G2</x:f>
        <x:v>2310</x:v>
      </x:c>
      <x:c r="K2" s="42" t="n">
        <x:f>D2*H2</x:f>
        <x:v>3200</x:v>
      </x:c>
      <x:c r="L2" s="42" t="n">
        <x:f>SUM(I2:K2)</x:f>
        <x:v>24010</x:v>
      </x:c>
      <x:c r="M2" s="42" t="n">
        <x:f>L2*'Rates &amp; Assumptions'!$B$13</x:f>
        <x:v>1680.7000000000003</x:v>
      </x:c>
      <x:c r="N2" s="42" t="n">
        <x:f>L2*'Rates &amp; Assumptions'!$B$12</x:f>
        <x:v>2881.2</x:v>
      </x:c>
      <x:c r="O2" s="42" t="n">
        <x:f>L2+M2+N2</x:f>
        <x:v>28571.9</x:v>
      </x:c>
      <x:c r="P2" s="40" t="str">
        <x:v>In Scope</x:v>
      </x:c>
      <x:c r="Q2" s="40" t="str">
        <x:v>Sample quantity and rate for estimator use</x:v>
      </x:c>
    </x:row>
    <x:row r="3">
      <x:c r="A3" s="40" t="str">
        <x:v>DIV 02</x:v>
      </x:c>
      <x:c r="B3" s="40" t="str">
        <x:v>Selective demolition</x:v>
      </x:c>
      <x:c r="C3" s="40" t="str">
        <x:v>SF</x:v>
      </x:c>
      <x:c r="D3" s="41" t="n">
        <x:v>18500</x:v>
      </x:c>
      <x:c r="E3" s="42" t="n">
        <x:v>2.65</x:v>
      </x:c>
      <x:c r="F3" s="40" t="n">
        <x:v>0.18</x:v>
      </x:c>
      <x:c r="G3" s="42" t="n">
        <x:v>48</x:v>
      </x:c>
      <x:c r="H3" s="42" t="n">
        <x:v>0.15</x:v>
      </x:c>
      <x:c r="I3" s="42" t="n">
        <x:f>D3*E3</x:f>
        <x:v>49025</x:v>
      </x:c>
      <x:c r="J3" s="42" t="n">
        <x:f>D3*F3*G3</x:f>
        <x:v>159840</x:v>
      </x:c>
      <x:c r="K3" s="42" t="n">
        <x:f>D3*H3</x:f>
        <x:v>2775</x:v>
      </x:c>
      <x:c r="L3" s="42" t="n">
        <x:f>SUM(I3:K3)</x:f>
        <x:v>211640</x:v>
      </x:c>
      <x:c r="M3" s="42" t="n">
        <x:f>L3*'Rates &amp; Assumptions'!$B$13</x:f>
        <x:v>14814.800000000001</x:v>
      </x:c>
      <x:c r="N3" s="42" t="n">
        <x:f>L3*'Rates &amp; Assumptions'!$B$12</x:f>
        <x:v>25396.8</x:v>
      </x:c>
      <x:c r="O3" s="42" t="n">
        <x:f>L3+M3+N3</x:f>
        <x:v>251851.59999999998</x:v>
      </x:c>
      <x:c r="P3" s="40" t="str">
        <x:v>In Scope</x:v>
      </x:c>
      <x:c r="Q3" s="40" t="str">
        <x:v>Sample quantity and rate for estimator use</x:v>
      </x:c>
    </x:row>
    <x:row r="4">
      <x:c r="A4" s="40" t="str">
        <x:v>DIV 03</x:v>
      </x:c>
      <x:c r="B4" s="40" t="str">
        <x:v>Concrete patching</x:v>
      </x:c>
      <x:c r="C4" s="40" t="str">
        <x:v>SF</x:v>
      </x:c>
      <x:c r="D4" s="41" t="n">
        <x:v>950</x:v>
      </x:c>
      <x:c r="E4" s="42" t="n">
        <x:v>8.75</x:v>
      </x:c>
      <x:c r="F4" s="40" t="n">
        <x:v>0.12</x:v>
      </x:c>
      <x:c r="G4" s="42" t="n">
        <x:v>52</x:v>
      </x:c>
      <x:c r="H4" s="42" t="n">
        <x:v>0.8</x:v>
      </x:c>
      <x:c r="I4" s="42" t="n">
        <x:f>D4*E4</x:f>
        <x:v>8312.5</x:v>
      </x:c>
      <x:c r="J4" s="42" t="n">
        <x:f>D4*F4*G4</x:f>
        <x:v>5928</x:v>
      </x:c>
      <x:c r="K4" s="42" t="n">
        <x:f>D4*H4</x:f>
        <x:v>760</x:v>
      </x:c>
      <x:c r="L4" s="42" t="n">
        <x:f>SUM(I4:K4)</x:f>
        <x:v>15000.5</x:v>
      </x:c>
      <x:c r="M4" s="42" t="n">
        <x:f>L4*'Rates &amp; Assumptions'!$B$13</x:f>
        <x:v>1050.035</x:v>
      </x:c>
      <x:c r="N4" s="42" t="n">
        <x:f>L4*'Rates &amp; Assumptions'!$B$12</x:f>
        <x:v>1800.06</x:v>
      </x:c>
      <x:c r="O4" s="42" t="n">
        <x:f>L4+M4+N4</x:f>
        <x:v>17850.595</x:v>
      </x:c>
      <x:c r="P4" s="40" t="str">
        <x:v>Allowance</x:v>
      </x:c>
      <x:c r="Q4" s="40" t="str">
        <x:v>Sample quantity and rate for estimator use</x:v>
      </x:c>
    </x:row>
    <x:row r="5">
      <x:c r="A5" s="40" t="str">
        <x:v>DIV 06</x:v>
      </x:c>
      <x:c r="B5" s="40" t="str">
        <x:v>Rough carpentry backing</x:v>
      </x:c>
      <x:c r="C5" s="40" t="str">
        <x:v>LF</x:v>
      </x:c>
      <x:c r="D5" s="41" t="n">
        <x:v>2100</x:v>
      </x:c>
      <x:c r="E5" s="42" t="n">
        <x:v>5.8</x:v>
      </x:c>
      <x:c r="F5" s="40" t="n">
        <x:v>0.05</x:v>
      </x:c>
      <x:c r="G5" s="42" t="n">
        <x:v>49</x:v>
      </x:c>
      <x:c r="H5" s="42" t="n">
        <x:v>0.1</x:v>
      </x:c>
      <x:c r="I5" s="42" t="n">
        <x:f>D5*E5</x:f>
        <x:v>12180</x:v>
      </x:c>
      <x:c r="J5" s="42" t="n">
        <x:f>D5*F5*G5</x:f>
        <x:v>5145</x:v>
      </x:c>
      <x:c r="K5" s="42" t="n">
        <x:f>D5*H5</x:f>
        <x:v>210</x:v>
      </x:c>
      <x:c r="L5" s="42" t="n">
        <x:f>SUM(I5:K5)</x:f>
        <x:v>17535</x:v>
      </x:c>
      <x:c r="M5" s="42" t="n">
        <x:f>L5*'Rates &amp; Assumptions'!$B$13</x:f>
        <x:v>1227.45</x:v>
      </x:c>
      <x:c r="N5" s="42" t="n">
        <x:f>L5*'Rates &amp; Assumptions'!$B$12</x:f>
        <x:v>2104.2</x:v>
      </x:c>
      <x:c r="O5" s="42" t="n">
        <x:f>L5+M5+N5</x:f>
        <x:v>20866.65</x:v>
      </x:c>
      <x:c r="P5" s="40" t="str">
        <x:v>In Scope</x:v>
      </x:c>
      <x:c r="Q5" s="40" t="str">
        <x:v>Sample quantity and rate for estimator use</x:v>
      </x:c>
    </x:row>
    <x:row r="6">
      <x:c r="A6" s="40" t="str">
        <x:v>DIV 08</x:v>
      </x:c>
      <x:c r="B6" s="40" t="str">
        <x:v>Interior doors and hardware</x:v>
      </x:c>
      <x:c r="C6" s="40" t="str">
        <x:v>EA</x:v>
      </x:c>
      <x:c r="D6" s="41" t="n">
        <x:v>42</x:v>
      </x:c>
      <x:c r="E6" s="42" t="n">
        <x:v>675</x:v>
      </x:c>
      <x:c r="F6" s="40" t="n">
        <x:v>1.1</x:v>
      </x:c>
      <x:c r="G6" s="42" t="n">
        <x:v>58</x:v>
      </x:c>
      <x:c r="H6" s="42" t="n">
        <x:v>15</x:v>
      </x:c>
      <x:c r="I6" s="42" t="n">
        <x:f>D6*E6</x:f>
        <x:v>28350</x:v>
      </x:c>
      <x:c r="J6" s="42" t="n">
        <x:f>D6*F6*G6</x:f>
        <x:v>2679.6000000000004</x:v>
      </x:c>
      <x:c r="K6" s="42" t="n">
        <x:f>D6*H6</x:f>
        <x:v>630</x:v>
      </x:c>
      <x:c r="L6" s="42" t="n">
        <x:f>SUM(I6:K6)</x:f>
        <x:v>31659.6</x:v>
      </x:c>
      <x:c r="M6" s="42" t="n">
        <x:f>L6*'Rates &amp; Assumptions'!$B$13</x:f>
        <x:v>2216.172</x:v>
      </x:c>
      <x:c r="N6" s="42" t="n">
        <x:f>L6*'Rates &amp; Assumptions'!$B$12</x:f>
        <x:v>3799.1519999999996</x:v>
      </x:c>
      <x:c r="O6" s="42" t="n">
        <x:f>L6+M6+N6</x:f>
        <x:v>37674.924</x:v>
      </x:c>
      <x:c r="P6" s="40" t="str">
        <x:v>In Scope</x:v>
      </x:c>
      <x:c r="Q6" s="40" t="str">
        <x:v>Sample quantity and rate for estimator use</x:v>
      </x:c>
    </x:row>
    <x:row r="7">
      <x:c r="A7" s="40" t="str">
        <x:v>DIV 09</x:v>
      </x:c>
      <x:c r="B7" s="40" t="str">
        <x:v>Metal stud partitions</x:v>
      </x:c>
      <x:c r="C7" s="40" t="str">
        <x:v>LF</x:v>
      </x:c>
      <x:c r="D7" s="41" t="n">
        <x:v>1420</x:v>
      </x:c>
      <x:c r="E7" s="42" t="n">
        <x:v>18.5</x:v>
      </x:c>
      <x:c r="F7" s="40" t="n">
        <x:v>0.22</x:v>
      </x:c>
      <x:c r="G7" s="42" t="n">
        <x:v>50</x:v>
      </x:c>
      <x:c r="H7" s="42" t="n">
        <x:v>0.25</x:v>
      </x:c>
      <x:c r="I7" s="42" t="n">
        <x:f>D7*E7</x:f>
        <x:v>26270</x:v>
      </x:c>
      <x:c r="J7" s="42" t="n">
        <x:f>D7*F7*G7</x:f>
        <x:v>15619.999999999998</x:v>
      </x:c>
      <x:c r="K7" s="42" t="n">
        <x:f>D7*H7</x:f>
        <x:v>355</x:v>
      </x:c>
      <x:c r="L7" s="42" t="n">
        <x:f>SUM(I7:K7)</x:f>
        <x:v>42245</x:v>
      </x:c>
      <x:c r="M7" s="42" t="n">
        <x:f>L7*'Rates &amp; Assumptions'!$B$13</x:f>
        <x:v>2957.15</x:v>
      </x:c>
      <x:c r="N7" s="42" t="n">
        <x:f>L7*'Rates &amp; Assumptions'!$B$12</x:f>
        <x:v>5069.4</x:v>
      </x:c>
      <x:c r="O7" s="42" t="n">
        <x:f>L7+M7+N7</x:f>
        <x:v>50271.55</x:v>
      </x:c>
      <x:c r="P7" s="40" t="str">
        <x:v>In Scope</x:v>
      </x:c>
      <x:c r="Q7" s="40" t="str">
        <x:v>Sample quantity and rate for estimator use</x:v>
      </x:c>
    </x:row>
    <x:row r="8">
      <x:c r="A8" s="40" t="str">
        <x:v>DIV 09</x:v>
      </x:c>
      <x:c r="B8" s="40" t="str">
        <x:v>Drywall finish level 4</x:v>
      </x:c>
      <x:c r="C8" s="40" t="str">
        <x:v>SF</x:v>
      </x:c>
      <x:c r="D8" s="41" t="n">
        <x:v>28600</x:v>
      </x:c>
      <x:c r="E8" s="42" t="n">
        <x:v>1.95</x:v>
      </x:c>
      <x:c r="F8" s="40" t="n">
        <x:v>0.09</x:v>
      </x:c>
      <x:c r="G8" s="42" t="n">
        <x:v>47</x:v>
      </x:c>
      <x:c r="H8" s="42" t="n">
        <x:v>0.03</x:v>
      </x:c>
      <x:c r="I8" s="42" t="n">
        <x:f>D8*E8</x:f>
        <x:v>55770</x:v>
      </x:c>
      <x:c r="J8" s="42" t="n">
        <x:f>D8*F8*G8</x:f>
        <x:v>120978</x:v>
      </x:c>
      <x:c r="K8" s="42" t="n">
        <x:f>D8*H8</x:f>
        <x:v>858</x:v>
      </x:c>
      <x:c r="L8" s="42" t="n">
        <x:f>SUM(I8:K8)</x:f>
        <x:v>177606</x:v>
      </x:c>
      <x:c r="M8" s="42" t="n">
        <x:f>L8*'Rates &amp; Assumptions'!$B$13</x:f>
        <x:v>12432.420000000002</x:v>
      </x:c>
      <x:c r="N8" s="42" t="n">
        <x:f>L8*'Rates &amp; Assumptions'!$B$12</x:f>
        <x:v>21312.719999999998</x:v>
      </x:c>
      <x:c r="O8" s="42" t="n">
        <x:f>L8+M8+N8</x:f>
        <x:v>211351.14</x:v>
      </x:c>
      <x:c r="P8" s="40" t="str">
        <x:v>In Scope</x:v>
      </x:c>
      <x:c r="Q8" s="40" t="str">
        <x:v>Sample quantity and rate for estimator use</x:v>
      </x:c>
    </x:row>
    <x:row r="9">
      <x:c r="A9" s="40" t="str">
        <x:v>DIV 09</x:v>
      </x:c>
      <x:c r="B9" s="40" t="str">
        <x:v>Acoustic ceiling tile</x:v>
      </x:c>
      <x:c r="C9" s="40" t="str">
        <x:v>SF</x:v>
      </x:c>
      <x:c r="D9" s="41" t="n">
        <x:v>12750</x:v>
      </x:c>
      <x:c r="E9" s="42" t="n">
        <x:v>3.8</x:v>
      </x:c>
      <x:c r="F9" s="40" t="n">
        <x:v>0.06</x:v>
      </x:c>
      <x:c r="G9" s="42" t="n">
        <x:v>46</x:v>
      </x:c>
      <x:c r="H9" s="42" t="n">
        <x:v>0.04</x:v>
      </x:c>
      <x:c r="I9" s="42" t="n">
        <x:f>D9*E9</x:f>
        <x:v>48450</x:v>
      </x:c>
      <x:c r="J9" s="42" t="n">
        <x:f>D9*F9*G9</x:f>
        <x:v>35190</x:v>
      </x:c>
      <x:c r="K9" s="42" t="n">
        <x:f>D9*H9</x:f>
        <x:v>510</x:v>
      </x:c>
      <x:c r="L9" s="42" t="n">
        <x:f>SUM(I9:K9)</x:f>
        <x:v>84150</x:v>
      </x:c>
      <x:c r="M9" s="42" t="n">
        <x:f>L9*'Rates &amp; Assumptions'!$B$13</x:f>
        <x:v>5890.500000000001</x:v>
      </x:c>
      <x:c r="N9" s="42" t="n">
        <x:f>L9*'Rates &amp; Assumptions'!$B$12</x:f>
        <x:v>10098</x:v>
      </x:c>
      <x:c r="O9" s="42" t="n">
        <x:f>L9+M9+N9</x:f>
        <x:v>100138.5</x:v>
      </x:c>
      <x:c r="P9" s="40" t="str">
        <x:v>In Scope</x:v>
      </x:c>
      <x:c r="Q9" s="40" t="str">
        <x:v>Sample quantity and rate for estimator use</x:v>
      </x:c>
    </x:row>
    <x:row r="10">
      <x:c r="A10" s="40" t="str">
        <x:v>DIV 09</x:v>
      </x:c>
      <x:c r="B10" s="40" t="str">
        <x:v>Paint walls and trim</x:v>
      </x:c>
      <x:c r="C10" s="40" t="str">
        <x:v>SF</x:v>
      </x:c>
      <x:c r="D10" s="41" t="n">
        <x:v>36200</x:v>
      </x:c>
      <x:c r="E10" s="42" t="n">
        <x:v>1.15</x:v>
      </x:c>
      <x:c r="F10" s="40" t="n">
        <x:v>0.05</x:v>
      </x:c>
      <x:c r="G10" s="42" t="n">
        <x:v>44</x:v>
      </x:c>
      <x:c r="H10" s="42" t="n">
        <x:v>0.02</x:v>
      </x:c>
      <x:c r="I10" s="42" t="n">
        <x:f>D10*E10</x:f>
        <x:v>41630</x:v>
      </x:c>
      <x:c r="J10" s="42" t="n">
        <x:f>D10*F10*G10</x:f>
        <x:v>79640</x:v>
      </x:c>
      <x:c r="K10" s="42" t="n">
        <x:f>D10*H10</x:f>
        <x:v>724</x:v>
      </x:c>
      <x:c r="L10" s="42" t="n">
        <x:f>SUM(I10:K10)</x:f>
        <x:v>121994</x:v>
      </x:c>
      <x:c r="M10" s="42" t="n">
        <x:f>L10*'Rates &amp; Assumptions'!$B$13</x:f>
        <x:v>8539.58</x:v>
      </x:c>
      <x:c r="N10" s="42" t="n">
        <x:f>L10*'Rates &amp; Assumptions'!$B$12</x:f>
        <x:v>14639.279999999999</x:v>
      </x:c>
      <x:c r="O10" s="42" t="n">
        <x:f>L10+M10+N10</x:f>
        <x:v>145172.86</x:v>
      </x:c>
      <x:c r="P10" s="40" t="str">
        <x:v>In Scope</x:v>
      </x:c>
      <x:c r="Q10" s="40" t="str">
        <x:v>Sample quantity and rate for estimator use</x:v>
      </x:c>
    </x:row>
    <x:row r="11">
      <x:c r="A11" s="40" t="str">
        <x:v>DIV 09</x:v>
      </x:c>
      <x:c r="B11" s="40" t="str">
        <x:v>Carpet tile</x:v>
      </x:c>
      <x:c r="C11" s="40" t="str">
        <x:v>SF</x:v>
      </x:c>
      <x:c r="D11" s="41" t="n">
        <x:v>9100</x:v>
      </x:c>
      <x:c r="E11" s="42" t="n">
        <x:v>4.9</x:v>
      </x:c>
      <x:c r="F11" s="40" t="n">
        <x:v>0.06</x:v>
      </x:c>
      <x:c r="G11" s="42" t="n">
        <x:v>45</x:v>
      </x:c>
      <x:c r="H11" s="42" t="n">
        <x:v>0.03</x:v>
      </x:c>
      <x:c r="I11" s="42" t="n">
        <x:f>D11*E11</x:f>
        <x:v>44590</x:v>
      </x:c>
      <x:c r="J11" s="42" t="n">
        <x:f>D11*F11*G11</x:f>
        <x:v>24570</x:v>
      </x:c>
      <x:c r="K11" s="42" t="n">
        <x:f>D11*H11</x:f>
        <x:v>273</x:v>
      </x:c>
      <x:c r="L11" s="42" t="n">
        <x:f>SUM(I11:K11)</x:f>
        <x:v>69433</x:v>
      </x:c>
      <x:c r="M11" s="42" t="n">
        <x:f>L11*'Rates &amp; Assumptions'!$B$13</x:f>
        <x:v>4860.31</x:v>
      </x:c>
      <x:c r="N11" s="42" t="n">
        <x:f>L11*'Rates &amp; Assumptions'!$B$12</x:f>
        <x:v>8331.96</x:v>
      </x:c>
      <x:c r="O11" s="42" t="n">
        <x:f>L11+M11+N11</x:f>
        <x:v>82625.26999999999</x:v>
      </x:c>
      <x:c r="P11" s="40" t="str">
        <x:v>In Scope</x:v>
      </x:c>
      <x:c r="Q11" s="40" t="str">
        <x:v>Sample quantity and rate for estimator use</x:v>
      </x:c>
    </x:row>
    <x:row r="12">
      <x:c r="A12" s="40" t="str">
        <x:v>DIV 10</x:v>
      </x:c>
      <x:c r="B12" s="40" t="str">
        <x:v>Restroom accessories</x:v>
      </x:c>
      <x:c r="C12" s="40" t="str">
        <x:v>LS</x:v>
      </x:c>
      <x:c r="D12" s="41" t="n">
        <x:v>1</x:v>
      </x:c>
      <x:c r="E12" s="42" t="n">
        <x:v>9200</x:v>
      </x:c>
      <x:c r="F12" s="40" t="n">
        <x:v>24</x:v>
      </x:c>
      <x:c r="G12" s="42" t="n">
        <x:v>51</x:v>
      </x:c>
      <x:c r="H12" s="42" t="n">
        <x:v>550</x:v>
      </x:c>
      <x:c r="I12" s="42" t="n">
        <x:f>D12*E12</x:f>
        <x:v>9200</x:v>
      </x:c>
      <x:c r="J12" s="42" t="n">
        <x:f>D12*F12*G12</x:f>
        <x:v>1224</x:v>
      </x:c>
      <x:c r="K12" s="42" t="n">
        <x:f>D12*H12</x:f>
        <x:v>550</x:v>
      </x:c>
      <x:c r="L12" s="42" t="n">
        <x:f>SUM(I12:K12)</x:f>
        <x:v>10974</x:v>
      </x:c>
      <x:c r="M12" s="42" t="n">
        <x:f>L12*'Rates &amp; Assumptions'!$B$13</x:f>
        <x:v>768.1800000000001</x:v>
      </x:c>
      <x:c r="N12" s="42" t="n">
        <x:f>L12*'Rates &amp; Assumptions'!$B$12</x:f>
        <x:v>1316.8799999999999</x:v>
      </x:c>
      <x:c r="O12" s="42" t="n">
        <x:f>L12+M12+N12</x:f>
        <x:v>13059.06</x:v>
      </x:c>
      <x:c r="P12" s="40" t="str">
        <x:v>In Scope</x:v>
      </x:c>
      <x:c r="Q12" s="40" t="str">
        <x:v>Sample quantity and rate for estimator use</x:v>
      </x:c>
    </x:row>
    <x:row r="13">
      <x:c r="A13" s="40" t="str">
        <x:v>DIV 21</x:v>
      </x:c>
      <x:c r="B13" s="40" t="str">
        <x:v>Fire sprinkler modifications</x:v>
      </x:c>
      <x:c r="C13" s="40" t="str">
        <x:v>LS</x:v>
      </x:c>
      <x:c r="D13" s="41" t="n">
        <x:v>1</x:v>
      </x:c>
      <x:c r="E13" s="42" t="n">
        <x:v>28600</x:v>
      </x:c>
      <x:c r="F13" s="40" t="n">
        <x:v>16</x:v>
      </x:c>
      <x:c r="G13" s="42" t="n">
        <x:v>68</x:v>
      </x:c>
      <x:c r="H13" s="42" t="n">
        <x:v>1200</x:v>
      </x:c>
      <x:c r="I13" s="42" t="n">
        <x:f>D13*E13</x:f>
        <x:v>28600</x:v>
      </x:c>
      <x:c r="J13" s="42" t="n">
        <x:f>D13*F13*G13</x:f>
        <x:v>1088</x:v>
      </x:c>
      <x:c r="K13" s="42" t="n">
        <x:f>D13*H13</x:f>
        <x:v>1200</x:v>
      </x:c>
      <x:c r="L13" s="42" t="n">
        <x:f>SUM(I13:K13)</x:f>
        <x:v>30888</x:v>
      </x:c>
      <x:c r="M13" s="42" t="n">
        <x:f>L13*'Rates &amp; Assumptions'!$B$13</x:f>
        <x:v>2162.1600000000003</x:v>
      </x:c>
      <x:c r="N13" s="42" t="n">
        <x:f>L13*'Rates &amp; Assumptions'!$B$12</x:f>
        <x:v>3706.56</x:v>
      </x:c>
      <x:c r="O13" s="42" t="n">
        <x:f>L13+M13+N13</x:f>
        <x:v>36756.72</x:v>
      </x:c>
      <x:c r="P13" s="40" t="str">
        <x:v>Sub Quote</x:v>
      </x:c>
      <x:c r="Q13" s="40" t="str">
        <x:v>Sample quantity and rate for estimator use</x:v>
      </x:c>
    </x:row>
    <x:row r="14">
      <x:c r="A14" s="40" t="str">
        <x:v>DIV 22</x:v>
      </x:c>
      <x:c r="B14" s="40" t="str">
        <x:v>Plumbing fixture replacement</x:v>
      </x:c>
      <x:c r="C14" s="40" t="str">
        <x:v>EA</x:v>
      </x:c>
      <x:c r="D14" s="41" t="n">
        <x:v>18</x:v>
      </x:c>
      <x:c r="E14" s="42" t="n">
        <x:v>980</x:v>
      </x:c>
      <x:c r="F14" s="40" t="n">
        <x:v>2.5</x:v>
      </x:c>
      <x:c r="G14" s="42" t="n">
        <x:v>72</x:v>
      </x:c>
      <x:c r="H14" s="42" t="n">
        <x:v>20</x:v>
      </x:c>
      <x:c r="I14" s="42" t="n">
        <x:f>D14*E14</x:f>
        <x:v>17640</x:v>
      </x:c>
      <x:c r="J14" s="42" t="n">
        <x:f>D14*F14*G14</x:f>
        <x:v>3240</x:v>
      </x:c>
      <x:c r="K14" s="42" t="n">
        <x:f>D14*H14</x:f>
        <x:v>360</x:v>
      </x:c>
      <x:c r="L14" s="42" t="n">
        <x:f>SUM(I14:K14)</x:f>
        <x:v>21240</x:v>
      </x:c>
      <x:c r="M14" s="42" t="n">
        <x:f>L14*'Rates &amp; Assumptions'!$B$13</x:f>
        <x:v>1486.8000000000002</x:v>
      </x:c>
      <x:c r="N14" s="42" t="n">
        <x:f>L14*'Rates &amp; Assumptions'!$B$12</x:f>
        <x:v>2548.7999999999997</x:v>
      </x:c>
      <x:c r="O14" s="42" t="n">
        <x:f>L14+M14+N14</x:f>
        <x:v>25275.6</x:v>
      </x:c>
      <x:c r="P14" s="40" t="str">
        <x:v>In Scope</x:v>
      </x:c>
      <x:c r="Q14" s="40" t="str">
        <x:v>Sample quantity and rate for estimator use</x:v>
      </x:c>
    </x:row>
    <x:row r="15">
      <x:c r="A15" s="40" t="str">
        <x:v>DIV 23</x:v>
      </x:c>
      <x:c r="B15" s="40" t="str">
        <x:v>HVAC diffuser relocation</x:v>
      </x:c>
      <x:c r="C15" s="40" t="str">
        <x:v>EA</x:v>
      </x:c>
      <x:c r="D15" s="41" t="n">
        <x:v>68</x:v>
      </x:c>
      <x:c r="E15" s="42" t="n">
        <x:v>210</x:v>
      </x:c>
      <x:c r="F15" s="40" t="n">
        <x:v>0.8</x:v>
      </x:c>
      <x:c r="G15" s="42" t="n">
        <x:v>66</x:v>
      </x:c>
      <x:c r="H15" s="42" t="n">
        <x:v>12</x:v>
      </x:c>
      <x:c r="I15" s="42" t="n">
        <x:f>D15*E15</x:f>
        <x:v>14280</x:v>
      </x:c>
      <x:c r="J15" s="42" t="n">
        <x:f>D15*F15*G15</x:f>
        <x:v>3590.4000000000005</x:v>
      </x:c>
      <x:c r="K15" s="42" t="n">
        <x:f>D15*H15</x:f>
        <x:v>816</x:v>
      </x:c>
      <x:c r="L15" s="42" t="n">
        <x:f>SUM(I15:K15)</x:f>
        <x:v>18686.4</x:v>
      </x:c>
      <x:c r="M15" s="42" t="n">
        <x:f>L15*'Rates &amp; Assumptions'!$B$13</x:f>
        <x:v>1308.0480000000002</x:v>
      </x:c>
      <x:c r="N15" s="42" t="n">
        <x:f>L15*'Rates &amp; Assumptions'!$B$12</x:f>
        <x:v>2242.368</x:v>
      </x:c>
      <x:c r="O15" s="42" t="n">
        <x:f>L15+M15+N15</x:f>
        <x:v>22236.816</x:v>
      </x:c>
      <x:c r="P15" s="40" t="str">
        <x:v>In Scope</x:v>
      </x:c>
      <x:c r="Q15" s="40" t="str">
        <x:v>Sample quantity and rate for estimator use</x:v>
      </x:c>
    </x:row>
    <x:row r="16">
      <x:c r="A16" s="40" t="str">
        <x:v>DIV 26</x:v>
      </x:c>
      <x:c r="B16" s="40" t="str">
        <x:v>Lighting fixture replacement</x:v>
      </x:c>
      <x:c r="C16" s="40" t="str">
        <x:v>EA</x:v>
      </x:c>
      <x:c r="D16" s="41" t="n">
        <x:v>155</x:v>
      </x:c>
      <x:c r="E16" s="42" t="n">
        <x:v>185</x:v>
      </x:c>
      <x:c r="F16" s="40" t="n">
        <x:v>0.45</x:v>
      </x:c>
      <x:c r="G16" s="42" t="n">
        <x:v>64</x:v>
      </x:c>
      <x:c r="H16" s="42" t="n">
        <x:v>7</x:v>
      </x:c>
      <x:c r="I16" s="42" t="n">
        <x:f>D16*E16</x:f>
        <x:v>28675</x:v>
      </x:c>
      <x:c r="J16" s="42" t="n">
        <x:f>D16*F16*G16</x:f>
        <x:v>4464</x:v>
      </x:c>
      <x:c r="K16" s="42" t="n">
        <x:f>D16*H16</x:f>
        <x:v>1085</x:v>
      </x:c>
      <x:c r="L16" s="42" t="n">
        <x:f>SUM(I16:K16)</x:f>
        <x:v>34224</x:v>
      </x:c>
      <x:c r="M16" s="42" t="n">
        <x:f>L16*'Rates &amp; Assumptions'!$B$13</x:f>
        <x:v>2395.6800000000003</x:v>
      </x:c>
      <x:c r="N16" s="42" t="n">
        <x:f>L16*'Rates &amp; Assumptions'!$B$12</x:f>
        <x:v>4106.88</x:v>
      </x:c>
      <x:c r="O16" s="42" t="n">
        <x:f>L16+M16+N16</x:f>
        <x:v>40726.56</x:v>
      </x:c>
      <x:c r="P16" s="40" t="str">
        <x:v>In Scope</x:v>
      </x:c>
      <x:c r="Q16" s="40" t="str">
        <x:v>Sample quantity and rate for estimator use</x:v>
      </x:c>
    </x:row>
    <x:row r="17">
      <x:c r="A17" s="40" t="str">
        <x:v>DIV 26</x:v>
      </x:c>
      <x:c r="B17" s="40" t="str">
        <x:v>Power/data rough-in</x:v>
      </x:c>
      <x:c r="C17" s="40" t="str">
        <x:v>EA</x:v>
      </x:c>
      <x:c r="D17" s="41" t="n">
        <x:v>126</x:v>
      </x:c>
      <x:c r="E17" s="42" t="n">
        <x:v>150</x:v>
      </x:c>
      <x:c r="F17" s="40" t="n">
        <x:v>0.75</x:v>
      </x:c>
      <x:c r="G17" s="42" t="n">
        <x:v>62</x:v>
      </x:c>
      <x:c r="H17" s="42" t="n">
        <x:v>5</x:v>
      </x:c>
      <x:c r="I17" s="42" t="n">
        <x:f>D17*E17</x:f>
        <x:v>18900</x:v>
      </x:c>
      <x:c r="J17" s="42" t="n">
        <x:f>D17*F17*G17</x:f>
        <x:v>5859</x:v>
      </x:c>
      <x:c r="K17" s="42" t="n">
        <x:f>D17*H17</x:f>
        <x:v>630</x:v>
      </x:c>
      <x:c r="L17" s="42" t="n">
        <x:f>SUM(I17:K17)</x:f>
        <x:v>25389</x:v>
      </x:c>
      <x:c r="M17" s="42" t="n">
        <x:f>L17*'Rates &amp; Assumptions'!$B$13</x:f>
        <x:v>1777.2300000000002</x:v>
      </x:c>
      <x:c r="N17" s="42" t="n">
        <x:f>L17*'Rates &amp; Assumptions'!$B$12</x:f>
        <x:v>3046.68</x:v>
      </x:c>
      <x:c r="O17" s="42" t="n">
        <x:f>L17+M17+N17</x:f>
        <x:v>30212.91</x:v>
      </x:c>
      <x:c r="P17" s="40" t="str">
        <x:v>In Scope</x:v>
      </x:c>
      <x:c r="Q17" s="40" t="str">
        <x:v>Sample quantity and rate for estimator use</x:v>
      </x:c>
    </x:row>
  </x:sheetData>
  <x:conditionalFormatting sqref="O2:O17">
    <x:cfRule type="dataBar" priority="1">
      <x:dataBar>
        <x:cfvo type="min"/>
        <x:cfvo type="max"/>
        <x:color rgb="9CC2E5"/>
      </x:dataBar>
      <x:extLst>
        <x:ext xmlns:x14="http://schemas.microsoft.com/office/spreadsheetml/2009/9/main" uri="{B025F937-C7B1-47D3-B67F-A62EFF666E3E}">
          <x14:id>{7C77EB7B-1B96-D31A-5CAF-0993E50D5B98}</x14:id>
        </x:ext>
      </x:extLst>
    </x:cfRule>
  </x:conditionalFormatting>
  <x:dataValidations count="1">
    <x:dataValidation type="list" sqref="P2:P50">
      <x:formula1>Lists!$A$2:$A$7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af15fbc1a237423b"/>
  </x:tableParts>
  <x:extLst>
    <x:ext xmlns:x14="http://schemas.microsoft.com/office/spreadsheetml/2009/9/main" xmlns:xm="http://schemas.microsoft.com/office/excel/2006/main" uri="{78C0D931-6437-407d-A8EE-F0AAD7539E65}">
      <x14:conditionalFormattings>
        <x14:conditionalFormatting>
          <x14:cfRule type="dataBar" priority="1" id="{7C77EB7B-1B96-D31A-5CAF-0993E50D5B98}">
            <x14:dataBar gradient="1">
              <x14:cfvo type="min"/>
              <x14:cfvo type="max"/>
              <x14:fillColor rgb="9CC2E5"/>
            </x14:dataBar>
          </x14:cfRule>
          <xm:sqref>O2:O17</xm:sqref>
        </x14:conditionalFormatting>
      </x14:conditionalFormattings>
    </x:ext>
  </x:extLst>
</x:worksheet>
</file>

<file path=xl/worksheets/sheet3.xml><?xml version="1.0" encoding="utf-8"?>
<x:worksheet xmlns:x="http://schemas.openxmlformats.org/spreadsheetml/2006/main">
  <x:sheetFormatPr defaultRowHeight="15"/>
  <x:cols>
    <x:col min="1" max="1" width="26" hidden="0" customWidth="1"/>
    <x:col min="2" max="2" width="34" hidden="0" customWidth="1"/>
  </x:cols>
  <x:sheetData>
    <x:row r="1">
      <x:c r="A1" s="13" t="str">
        <x:v>Commercial Office Renovation Estimate - Rates &amp; Assumptions</x:v>
      </x:c>
    </x:row>
    <x:row r="3">
      <x:c r="A3" s="20" t="str">
        <x:v>Project Name</x:v>
      </x:c>
      <x:c r="B3" t="str">
        <x:v>Commercial Office Renovation Estimate</x:v>
      </x:c>
    </x:row>
    <x:row r="4">
      <x:c r="A4" s="20" t="str">
        <x:v>Client</x:v>
      </x:c>
      <x:c r="B4" t="str">
        <x:v>Redstone Property Group</x:v>
      </x:c>
    </x:row>
    <x:row r="5">
      <x:c r="A5" s="20" t="str">
        <x:v>Location</x:v>
      </x:c>
      <x:c r="B5" s="24" t="str">
        <x:v>Lubbock, TX</x:v>
      </x:c>
    </x:row>
    <x:row r="6">
      <x:c r="A6" s="20" t="str">
        <x:v>Estimator</x:v>
      </x:c>
      <x:c r="B6" s="24" t="str">
        <x:v>Sample Estimator</x:v>
      </x:c>
    </x:row>
    <x:row r="7">
      <x:c r="A7" s="20" t="str">
        <x:v>Estimate Date</x:v>
      </x:c>
      <x:c r="B7" t="n">
        <x:v>46162</x:v>
      </x:c>
    </x:row>
    <x:row r="8">
      <x:c r="A8" s="20" t="str">
        <x:v>Planned Start</x:v>
      </x:c>
      <x:c r="B8" t="n">
        <x:v>46188</x:v>
      </x:c>
    </x:row>
    <x:row r="9">
      <x:c r="A9" s="20" t="str">
        <x:v>Duration Calendar Days</x:v>
      </x:c>
      <x:c r="B9" t="n">
        <x:v>84</x:v>
      </x:c>
    </x:row>
    <x:row r="10">
      <x:c r="A10" s="20" t="str">
        <x:v>Estimate Class</x:v>
      </x:c>
      <x:c r="B10" t="str">
        <x:v>Budget / Design Development</x:v>
      </x:c>
    </x:row>
    <x:row r="12">
      <x:c r="A12" s="20" t="str">
        <x:v>Markup %</x:v>
      </x:c>
      <x:c r="B12" s="26" t="n">
        <x:v>0.12</x:v>
      </x:c>
    </x:row>
    <x:row r="13">
      <x:c r="A13" s="20" t="str">
        <x:v>Contingency %</x:v>
      </x:c>
      <x:c r="B13" s="26" t="n">
        <x:v>0.07</x:v>
      </x:c>
    </x:row>
    <x:row r="14">
      <x:c r="A14" s="20" t="str">
        <x:v>Sales Tax %</x:v>
      </x:c>
      <x:c r="B14" s="26" t="n">
        <x:v>0.0825</x:v>
      </x:c>
    </x:row>
    <x:row r="15">
      <x:c r="A15" s="20" t="str">
        <x:v>Labor Burden %</x:v>
      </x:c>
      <x:c r="B15" s="26" t="n">
        <x:v>0.28</x:v>
      </x:c>
    </x:row>
    <x:row r="16">
      <x:c r="A16" s="20" t="str">
        <x:v>Default Crew Productivity</x:v>
      </x:c>
      <x:c r="B16" t="str">
        <x:v>Project-specific</x:v>
      </x:c>
    </x:row>
    <x:row r="17">
      <x:c r="A17" s="20" t="str">
        <x:v>Bid Validity Days</x:v>
      </x:c>
      <x:c r="B17" t="n">
        <x:v>30</x:v>
      </x:c>
    </x:row>
    <x:row r="18">
      <x:c r="A18" s="20" t="str">
        <x:v>Currency</x:v>
      </x:c>
      <x:c r="B18" t="str">
        <x:v>USD</x:v>
      </x:c>
    </x:row>
  </x:sheetData>
  <x:mergeCells>
    <x:mergeCell ref="A1:D1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32" hidden="0" customWidth="1"/>
    <x:col min="6" max="6" width="44" hidden="0" customWidth="1"/>
  </x:cols>
  <x:sheetData>
    <x:row r="1">
      <x:c r="A1" s="32" t="str">
        <x:v>Vendor/Subcontractor</x:v>
      </x:c>
      <x:c r="B1" s="32" t="str">
        <x:v>Scope</x:v>
      </x:c>
      <x:c r="C1" s="32" t="str">
        <x:v>Quoted Amount</x:v>
      </x:c>
      <x:c r="D1" s="32" t="str">
        <x:v>Status</x:v>
      </x:c>
      <x:c r="E1" s="32" t="str">
        <x:v>Date Received</x:v>
      </x:c>
      <x:c r="F1" s="32" t="str">
        <x:v>Estimator Notes</x:v>
      </x:c>
    </x:row>
    <x:row r="2">
      <x:c r="A2" s="34" t="str">
        <x:v>Fire Protection Co.</x:v>
      </x:c>
      <x:c r="B2" s="34" t="str">
        <x:v>Sprinkler modifications</x:v>
      </x:c>
      <x:c r="C2" s="36" t="n">
        <x:v>28600</x:v>
      </x:c>
      <x:c r="D2" s="34" t="str">
        <x:v>Received</x:v>
      </x:c>
      <x:c r="E2" s="46" t="n">
        <x:v>46175</x:v>
      </x:c>
      <x:c r="F2" s="34" t="str">
        <x:v>Compare inclusions, exclusions, tax, bonding, and schedule constraints.</x:v>
      </x:c>
    </x:row>
    <x:row r="3">
      <x:c r="A3" s="34" t="str">
        <x:v>West Plains Electric</x:v>
      </x:c>
      <x:c r="B3" s="34" t="str">
        <x:v>Lighting and power rough-in</x:v>
      </x:c>
      <x:c r="C3" s="36" t="n">
        <x:v>48500</x:v>
      </x:c>
      <x:c r="D3" s="34" t="str">
        <x:v>Pending</x:v>
      </x:c>
      <x:c r="E3" s="46" t="n">
        <x:v>46178</x:v>
      </x:c>
      <x:c r="F3" s="34" t="str">
        <x:v>Compare inclusions, exclusions, tax, bonding, and schedule constraints.</x:v>
      </x:c>
    </x:row>
    <x:row r="4">
      <x:c r="A4" s="34" t="str">
        <x:v>Hub City HVAC</x:v>
      </x:c>
      <x:c r="B4" s="34" t="str">
        <x:v>Diffusers and controls</x:v>
      </x:c>
      <x:c r="C4" s="36" t="n">
        <x:v>22100</x:v>
      </x:c>
      <x:c r="D4" s="34" t="str">
        <x:v>Received</x:v>
      </x:c>
      <x:c r="E4" s="46" t="n">
        <x:v>46176</x:v>
      </x:c>
      <x:c r="F4" s="34" t="str">
        <x:v>Compare inclusions, exclusions, tax, bonding, and schedule constraints.</x:v>
      </x:c>
    </x:row>
    <x:row r="5">
      <x:c r="A5" s="34" t="str">
        <x:v>Caprock Flooring</x:v>
      </x:c>
      <x:c r="B5" s="34" t="str">
        <x:v>Carpet tile installation</x:v>
      </x:c>
      <x:c r="C5" s="36" t="n">
        <x:v>46850</x:v>
      </x:c>
      <x:c r="D5" s="34" t="str">
        <x:v>Received</x:v>
      </x:c>
      <x:c r="E5" s="46" t="n">
        <x:v>46174</x:v>
      </x:c>
      <x:c r="F5" s="34" t="str">
        <x:v>Compare inclusions, exclusions, tax, bonding, and schedule constraints.</x:v>
      </x:c>
    </x:row>
  </x:sheetData>
  <x:dataValidations count="1">
    <x:dataValidation type="list" sqref="D2:D25">
      <x:formula1>Lists!$C$2:$C$6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eea39d5fb707474f"/>
  </x:tableParts>
</x:worksheet>
</file>

<file path=xl/worksheets/sheet5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18" hidden="0" customWidth="1"/>
    <x:col min="3" max="3" width="55" hidden="0" customWidth="1"/>
    <x:col min="4" max="4" width="14" hidden="0" customWidth="1"/>
    <x:col min="5" max="5" width="16" hidden="0" customWidth="1"/>
    <x:col min="6" max="6" width="14" hidden="0" customWidth="1"/>
  </x:cols>
  <x:sheetData>
    <x:row r="1">
      <x:c r="A1" s="13" t="str">
        <x:v>Commercial Office Renovation Estimate - Scope Notes</x:v>
      </x:c>
    </x:row>
    <x:row r="3">
      <x:c r="A3" s="5" t="str">
        <x:v>Item</x:v>
      </x:c>
      <x:c r="B3" s="5" t="str">
        <x:v>Included / Excluded</x:v>
      </x:c>
      <x:c r="C3" s="5" t="str">
        <x:v>Description</x:v>
      </x:c>
      <x:c r="D3" s="5" t="str">
        <x:v>Risk Level</x:v>
      </x:c>
      <x:c r="E3" s="5" t="str">
        <x:v>Owner</x:v>
      </x:c>
      <x:c r="F3" s="5" t="str">
        <x:v>Due Date</x:v>
      </x:c>
    </x:row>
    <x:row r="4">
      <x:c r="A4" s="34" t="str">
        <x:v>Basis of Estimate</x:v>
      </x:c>
      <x:c r="B4" s="34" t="str">
        <x:v>Included</x:v>
      </x:c>
      <x:c r="C4" s="34" t="str">
        <x:v>Sample estimate created for project pricing practice and estimator workflow.</x:v>
      </x:c>
      <x:c r="D4" s="34" t="str">
        <x:v>Medium</x:v>
      </x:c>
      <x:c r="E4" s="34" t="str">
        <x:v>Estimator</x:v>
      </x:c>
      <x:c r="F4" s="46" t="n">
        <x:v>46166</x:v>
      </x:c>
    </x:row>
    <x:row r="5">
      <x:c r="A5" s="34" t="str">
        <x:v>Plans and Specs</x:v>
      </x:c>
      <x:c r="B5" s="34" t="str">
        <x:v>Included</x:v>
      </x:c>
      <x:c r="C5" s="34" t="str">
        <x:v>Quantities are based on assumed preliminary takeoff data. Verify against final drawings.</x:v>
      </x:c>
      <x:c r="D5" s="34" t="str">
        <x:v>High</x:v>
      </x:c>
      <x:c r="E5" s="34" t="str">
        <x:v>Estimator</x:v>
      </x:c>
      <x:c r="F5" s="46" t="n">
        <x:v>46170</x:v>
      </x:c>
    </x:row>
    <x:row r="6">
      <x:c r="A6" s="34" t="str">
        <x:v>Permit Fees</x:v>
      </x:c>
      <x:c r="B6" s="34" t="str">
        <x:v>Included</x:v>
      </x:c>
      <x:c r="C6" s="34" t="str">
        <x:v>Permit allowance included unless specifically noted by line item.</x:v>
      </x:c>
      <x:c r="D6" s="34" t="str">
        <x:v>Medium</x:v>
      </x:c>
      <x:c r="E6" s="34" t="str">
        <x:v>PM</x:v>
      </x:c>
      <x:c r="F6" s="46" t="n">
        <x:v>46174</x:v>
      </x:c>
    </x:row>
    <x:row r="7">
      <x:c r="A7" s="34" t="str">
        <x:v>Utility Company Fees</x:v>
      </x:c>
      <x:c r="B7" s="34" t="str">
        <x:v>Excluded</x:v>
      </x:c>
      <x:c r="C7" s="34" t="str">
        <x:v>Direct utility fees are excluded unless vendor quote states otherwise.</x:v>
      </x:c>
      <x:c r="D7" s="34" t="str">
        <x:v>High</x:v>
      </x:c>
      <x:c r="E7" s="34" t="str">
        <x:v>Owner</x:v>
      </x:c>
      <x:c r="F7" s="46" t="n">
        <x:v>46178</x:v>
      </x:c>
    </x:row>
    <x:row r="8">
      <x:c r="A8" s="34" t="str">
        <x:v>Overtime Work</x:v>
      </x:c>
      <x:c r="B8" s="34" t="str">
        <x:v>Excluded</x:v>
      </x:c>
      <x:c r="C8" s="34" t="str">
        <x:v>Assumes normal working hours and standard sequencing.</x:v>
      </x:c>
      <x:c r="D8" s="34" t="str">
        <x:v>Medium</x:v>
      </x:c>
      <x:c r="E8" s="34" t="str">
        <x:v>PM</x:v>
      </x:c>
      <x:c r="F8" s="46" t="n">
        <x:v>46181</x:v>
      </x:c>
    </x:row>
    <x:row r="9">
      <x:c r="A9" s="34" t="str">
        <x:v>Tax and Markup</x:v>
      </x:c>
      <x:c r="B9" s="34" t="str">
        <x:v>Included</x:v>
      </x:c>
      <x:c r="C9" s="34" t="str">
        <x:v>Rates are controlled by the Rates &amp; Assumptions sheet.</x:v>
      </x:c>
      <x:c r="D9" s="34" t="str">
        <x:v>Low</x:v>
      </x:c>
      <x:c r="E9" s="34" t="str">
        <x:v>Estimator</x:v>
      </x:c>
      <x:c r="F9" s="46" t="n">
        <x:v>46164</x:v>
      </x:c>
    </x:row>
  </x:sheetData>
  <x:mergeCells>
    <x:mergeCell ref="A1:F1"/>
  </x:mergeCells>
  <x:pageMargins left="0.7" right="0.7" top="0.75" bottom="0.75" header="0.3" footer="0.3"/>
  <x:tableParts count="1">
    <x:tablePart xmlns:r="http://schemas.openxmlformats.org/officeDocument/2006/relationships" r:id="R24e214213afe455d"/>
  </x:tableParts>
</x:worksheet>
</file>

<file path=xl/worksheets/sheet6.xml><?xml version="1.0" encoding="utf-8"?>
<x:worksheet xmlns:x="http://schemas.openxmlformats.org/spreadsheetml/2006/main">
  <x:sheetFormatPr defaultRowHeight="15"/>
  <x:sheetData>
    <x:row r="1">
      <x:c r="A1" s="5" t="str">
        <x:v>Status</x:v>
      </x:c>
      <x:c r="B1" s="5"/>
      <x:c r="C1" s="5" t="str">
        <x:v>Quote Status</x:v>
      </x:c>
    </x:row>
    <x:row r="2">
      <x:c r="A2" t="str">
        <x:v>In Scope</x:v>
      </x:c>
      <x:c r="C2" t="str">
        <x:v>Received</x:v>
      </x:c>
    </x:row>
    <x:row r="3">
      <x:c r="A3" t="str">
        <x:v>Allowance</x:v>
      </x:c>
      <x:c r="C3" t="str">
        <x:v>Pending</x:v>
      </x:c>
    </x:row>
    <x:row r="4">
      <x:c r="A4" t="str">
        <x:v>Sub Quote</x:v>
      </x:c>
      <x:c r="C4" t="str">
        <x:v>Budget</x:v>
      </x:c>
    </x:row>
    <x:row r="5">
      <x:c r="A5" t="str">
        <x:v>Excluded</x:v>
      </x:c>
      <x:c r="C5" t="str">
        <x:v>Rejected</x:v>
      </x:c>
    </x:row>
    <x:row r="6">
      <x:c r="A6" t="str">
        <x:v>Pending</x:v>
      </x:c>
      <x:c r="C6" t="str">
        <x:v>Need Clarification</x:v>
      </x:c>
    </x:row>
    <x:row r="7">
      <x:c r="A7" t="str">
        <x:v>Budget</x:v>
      </x:c>
    </x:row>
  </x:sheetData>
  <x:pageMargins left="0.7" right="0.7" top="0.75" bottom="0.75" header="0.3" footer="0.3"/>
</x:worksheet>
</file>