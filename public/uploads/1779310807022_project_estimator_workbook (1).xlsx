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311247e37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 Summary" sheetId="1" r:id="R5c17b988c692422b"/>
    <x:sheet xmlns:r="http://schemas.openxmlformats.org/officeDocument/2006/relationships" name="Estimate Details" sheetId="2" r:id="R2e700b3a9ee94f68"/>
    <x:sheet xmlns:r="http://schemas.openxmlformats.org/officeDocument/2006/relationships" name="Rates &amp; Assumptions" sheetId="3" r:id="R054a5a58b3c2438e"/>
    <x:sheet xmlns:r="http://schemas.openxmlformats.org/officeDocument/2006/relationships" name="Vendors" sheetId="4" r:id="R2e1431ff7ba348e5"/>
    <x:sheet xmlns:r="http://schemas.openxmlformats.org/officeDocument/2006/relationships" name="Project Scope" sheetId="5" r:id="R663759fc39fa40cc"/>
    <x:sheet xmlns:r="http://schemas.openxmlformats.org/officeDocument/2006/relationships" name="Lists" sheetId="6" r:id="Ra6dd413058ac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yyyy-mm-dd"/>
    <x:numFmt numFmtId="203" formatCode="$#,##0.00"/>
    <x:numFmt numFmtId="204" formatCode="#,##0.00"/>
  </x:numFmts>
  <x:fonts count="4">
    <x:font>
      <x:sz val="11"/>
      <x:name val="Carlito"/>
    </x:font>
    <x:font>
      <x:b/>
      <x:sz val="11"/>
      <x:color rgb="1F1F1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3" fillId="5" borderId="0" xfId="0" applyNumberFormat="1" applyFont="1" applyFill="1" applyBorder="1"/>
    <x:xf numFmtId="203" fontId="3" fillId="5" borderId="0" xfId="0" applyNumberFormat="1" applyFont="1" applyFill="1" applyBorder="1"/>
    <x:xf numFmtId="0" fontId="0" fillId="5" borderId="1" xfId="0" applyNumberFormat="1" applyFont="1" applyFill="1" applyBorder="1"/>
    <x:xf numFmtId="203" fontId="0" fillId="5" borderId="1" xfId="0" applyNumberFormat="1" applyFont="1" applyFill="1" applyBorder="1"/>
    <x:xf numFmtId="0" fontId="3" fillId="5" borderId="1" xfId="0" applyNumberFormat="1" applyFont="1" applyFill="1" applyBorder="1"/>
    <x:xf numFmtId="203" fontId="3" fillId="5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0944322e04c36" /><Relationship Type="http://schemas.openxmlformats.org/officeDocument/2006/relationships/theme" Target="/xl/theme/theme1.xml" Id="Ra18edf4255d9491f" /><Relationship Type="http://schemas.openxmlformats.org/officeDocument/2006/relationships/sharedStrings" Target="/xl/sharedStrings.xml" Id="Ra5bf51a8ca554c50" /><Relationship Type="http://schemas.openxmlformats.org/officeDocument/2006/relationships/worksheet" Target="/xl/worksheets/sheet1.xml" Id="R5c17b988c692422b" /><Relationship Type="http://schemas.openxmlformats.org/officeDocument/2006/relationships/worksheet" Target="/xl/worksheets/sheet2.xml" Id="R2e700b3a9ee94f68" /><Relationship Type="http://schemas.openxmlformats.org/officeDocument/2006/relationships/worksheet" Target="/xl/worksheets/sheet3.xml" Id="R054a5a58b3c2438e" /><Relationship Type="http://schemas.openxmlformats.org/officeDocument/2006/relationships/worksheet" Target="/xl/worksheets/sheet4.xml" Id="R2e1431ff7ba348e5" /><Relationship Type="http://schemas.openxmlformats.org/officeDocument/2006/relationships/worksheet" Target="/xl/worksheets/sheet5.xml" Id="R663759fc39fa40cc" /><Relationship Type="http://schemas.openxmlformats.org/officeDocument/2006/relationships/worksheet" Target="/xl/worksheets/sheet6.xml" Id="Ra6dd413058ac43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8a1480de564e00" /><Relationship Type="http://schemas.openxmlformats.org/officeDocument/2006/relationships/chart" Target="/xl/drawings/charts/chart2.xml" Id="R18f254c51b97414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Category Direct Cost</c:v>
          </c:tx>
          <c:cat>
            <c:strRef>
              <c:f>'Estimate Summary'!$D$4:$D$13</c:f>
              <c:strCache>
                <c:ptCount val="0"/>
              </c:strCache>
            </c:strRef>
          </c:cat>
          <c:val>
            <c:numRef>
              <c:f>'Estimate Summary'!$E$4:$E$13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Direct Cost</c:v>
          </c:tx>
          <c:cat>
            <c:strRef>
              <c:f>'Estimate Summary'!$D$4:$D$13</c:f>
              <c:strCache>
                <c:ptCount val="0"/>
              </c:strCache>
            </c:strRef>
          </c:cat>
          <c:val>
            <c:numRef>
              <c:f>'Estimate Summary'!$E$4:$E$13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8a1480de564e00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f254c51b9741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CategorySummaryTable" displayName="CategorySummaryTable" ref="D3:F13" headerRowCount="1">
  <x:tableColumns count="3">
    <x:tableColumn id="1" name="Category"/>
    <x:tableColumn id="2" name="Direct Cost"/>
    <x:tableColumn id="3" name="% of Direct Cost"/>
  </x:tableColumns>
  <x:tableStyleInfo name="TableStyleMedium2" showRowStripes="1"/>
</x:table>
</file>

<file path=xl/tables/table2.xml><?xml version="1.0" encoding="utf-8"?>
<x:table xmlns:x="http://schemas.openxmlformats.org/spreadsheetml/2006/main" id="4" name="EstimateDetailsTable" displayName="EstimateDetailsTable" ref="A3:O23" headerRowCount="1">
  <x:tableColumns count="15">
    <x:tableColumn id="1" name="WBS"/>
    <x:tableColumn id="2" name="Category"/>
    <x:tableColumn id="3" name="Description"/>
    <x:tableColumn id="4" name="Status"/>
    <x:tableColumn id="5" name="Cost Type"/>
    <x:tableColumn id="6" name="Quantity"/>
    <x:tableColumn id="7" name="Unit"/>
    <x:tableColumn id="8" name="Unit Cost"/>
    <x:tableColumn id="9" name="Labor Hrs"/>
    <x:tableColumn id="10" name="Labor Rate"/>
    <x:tableColumn id="11" name="Material Cost"/>
    <x:tableColumn id="12" name="Equipment Cost"/>
    <x:tableColumn id="13" name="Subcontract Cost"/>
    <x:tableColumn id="14" name="Line Total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LaborRatesTable" displayName="LaborRatesTable" ref="D3:F11" headerRowCount="1">
  <x:tableColumns count="3">
    <x:tableColumn id="1" name="Labor Role"/>
    <x:tableColumn id="2" name="Base Rate / Hr"/>
    <x:tableColumn id="3" name="Burden %"/>
  </x:tableColumns>
  <x:tableStyleInfo name="TableStyleMedium2" showRowStripes="1"/>
</x:table>
</file>

<file path=xl/tables/table4.xml><?xml version="1.0" encoding="utf-8"?>
<x:table xmlns:x="http://schemas.openxmlformats.org/spreadsheetml/2006/main" id="2" name="VendorQuoteLog" displayName="VendorQuoteLog" ref="A3:H11" headerRowCount="1">
  <x:tableColumns count="8">
    <x:tableColumn id="1" name="Trade"/>
    <x:tableColumn id="2" name="Company"/>
    <x:tableColumn id="3" name="Contact"/>
    <x:tableColumn id="4" name="Phone"/>
    <x:tableColumn id="5" name="Email"/>
    <x:tableColumn id="6" name="Quote Date"/>
    <x:tableColumn id="7" name="Quote Amount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3" name="ScopeTable" displayName="ScopeTable" ref="A3:G12" headerRowCount="1">
  <x:tableColumns count="7">
    <x:tableColumn id="1" name="Area / System"/>
    <x:tableColumn id="2" name="Scope Description"/>
    <x:tableColumn id="3" name="Quantity"/>
    <x:tableColumn id="4" name="Unit"/>
    <x:tableColumn id="5" name="Drawing Ref"/>
    <x:tableColumn id="6" name="In Estimate?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64f660676d4cb5" /><Relationship Type="http://schemas.openxmlformats.org/officeDocument/2006/relationships/table" Target="/xl/tables/table1.xml" Id="Rcbba4c41c8b04f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364818c9c043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20570a207b48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375274578942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a28cae4a1a427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.959999084472656" hidden="0" customWidth="1"/>
    <x:col min="4" max="4" width="22" hidden="0" customWidth="1"/>
    <x:col min="5" max="5" width="11.569999694824219" hidden="0" customWidth="1"/>
    <x:col min="6" max="6" width="15.609999656677246" hidden="0" customWidth="1"/>
    <x:col min="7" max="7" width="14.399999618530273" hidden="0" customWidth="1"/>
    <x:col min="8" max="8" width="24" hidden="0" customWidth="1"/>
  </x:cols>
  <x:sheetData>
    <x:row r="1" ht="30" customHeight="1">
      <x:c r="A1" s="15" t="str">
        <x:v>PROJECT ESTIMATE SUMMARY</x:v>
      </x:c>
      <x:c r="B1"/>
      <x:c r="C1"/>
      <x:c r="D1"/>
      <x:c r="E1"/>
      <x:c r="F1"/>
      <x:c r="G1"/>
      <x:c r="H1"/>
    </x:row>
    <x:row r="3">
      <x:c r="A3" s="6" t="str">
        <x:v>Project Name</x:v>
      </x:c>
      <x:c r="B3" s="20" t="str">
        <x:f>'Rates &amp; Assumptions'!B3</x:f>
        <x:v>Sample Commercial Build-Out</x:v>
      </x:c>
      <x:c r="D3" s="6" t="str">
        <x:v>Category</x:v>
      </x:c>
      <x:c r="E3" s="6" t="str">
        <x:v>Direct Cost</x:v>
      </x:c>
      <x:c r="F3" s="6" t="str">
        <x:v>% of Direct Cost</x:v>
      </x:c>
    </x:row>
    <x:row r="4">
      <x:c r="A4" s="6" t="str">
        <x:v>Location</x:v>
      </x:c>
      <x:c r="B4" s="20" t="str">
        <x:f>'Rates &amp; Assumptions'!B4</x:f>
        <x:v>Lubbock, TX</x:v>
      </x:c>
      <x:c r="D4" t="str">
        <x:v>General Conditions</x:v>
      </x:c>
      <x:c r="E4" s="28" t="n">
        <x:f>SUMIFS('Estimate Details'!$N$4:$N$23,'Estimate Details'!$B$4:$B$23,D4)</x:f>
        <x:v>59790</x:v>
      </x:c>
      <x:c r="F4" s="30" t="n">
        <x:f>IFERROR(E4/$B$13,0)</x:f>
        <x:v>0.06826035978541199</x:v>
      </x:c>
    </x:row>
    <x:row r="5">
      <x:c r="A5" s="6" t="str">
        <x:v>Estimate Date</x:v>
      </x:c>
      <x:c r="B5" s="26" t="n">
        <x:f>'Rates &amp; Assumptions'!B6</x:f>
        <x:v>46162</x:v>
      </x:c>
      <x:c r="D5" t="str">
        <x:v>Sitework</x:v>
      </x:c>
      <x:c r="E5" s="28" t="n">
        <x:f>SUMIFS('Estimate Details'!$N$4:$N$23,'Estimate Details'!$B$4:$B$23,D5)</x:f>
        <x:v>56400</x:v>
      </x:c>
      <x:c r="F5" s="30" t="n">
        <x:f>IFERROR(E5/$B$13,0)</x:f>
        <x:v>0.0643901035607499</x:v>
      </x:c>
    </x:row>
    <x:row r="6">
      <x:c r="A6" s="6" t="str">
        <x:v>Bid Due Date</x:v>
      </x:c>
      <x:c r="B6" s="26" t="n">
        <x:f>'Rates &amp; Assumptions'!B7</x:f>
        <x:v>46183</x:v>
      </x:c>
      <x:c r="D6" t="str">
        <x:v>Concrete</x:v>
      </x:c>
      <x:c r="E6" s="28" t="n">
        <x:f>SUMIFS('Estimate Details'!$N$4:$N$23,'Estimate Details'!$B$4:$B$23,D6)</x:f>
        <x:v>51218</x:v>
      </x:c>
      <x:c r="F6" s="30" t="n">
        <x:f>IFERROR(E6/$B$13,0)</x:f>
        <x:v>0.05847397737898028</x:v>
      </x:c>
    </x:row>
    <x:row r="7">
      <x:c r="A7" s="6" t="str">
        <x:v>Gross Area (SF)</x:v>
      </x:c>
      <x:c r="B7" s="22" t="n">
        <x:f>'Rates &amp; Assumptions'!B8</x:f>
        <x:v>12500</x:v>
      </x:c>
      <x:c r="D7" t="str">
        <x:v>Structural Steel</x:v>
      </x:c>
      <x:c r="E7" s="28" t="n">
        <x:f>SUMIFS('Estimate Details'!$N$4:$N$23,'Estimate Details'!$B$4:$B$23,D7)</x:f>
        <x:v>86300</x:v>
      </x:c>
      <x:c r="F7" s="30" t="n">
        <x:f>IFERROR(E7/$B$13,0)</x:f>
        <x:v>0.09852599179597014</x:v>
      </x:c>
    </x:row>
    <x:row r="8">
      <x:c r="A8" s="6" t="str">
        <x:v>Duration (Weeks)</x:v>
      </x:c>
      <x:c r="B8" s="22" t="n">
        <x:f>'Rates &amp; Assumptions'!B9</x:f>
        <x:v>18</x:v>
      </x:c>
      <x:c r="D8" t="str">
        <x:v>Carpentry</x:v>
      </x:c>
      <x:c r="E8" s="28" t="n">
        <x:f>SUMIFS('Estimate Details'!$N$4:$N$23,'Estimate Details'!$B$4:$B$23,D8)</x:f>
        <x:v>6336</x:v>
      </x:c>
      <x:c r="F8" s="30" t="n">
        <x:f>IFERROR(E8/$B$13,0)</x:f>
        <x:v>0.007233611634058712</x:v>
      </x:c>
    </x:row>
    <x:row r="9">
      <x:c r="A9" s="6" t="str">
        <x:v>Total Bid</x:v>
      </x:c>
      <x:c r="B9" s="42" t="n">
        <x:f>B20</x:f>
        <x:v>1066810.34097</x:v>
      </x:c>
      <x:c r="D9" t="str">
        <x:v>Roofing</x:v>
      </x:c>
      <x:c r="E9" s="28" t="n">
        <x:f>SUMIFS('Estimate Details'!$N$4:$N$23,'Estimate Details'!$B$4:$B$23,D9)</x:f>
        <x:v>59800</x:v>
      </x:c>
      <x:c r="F9" s="30" t="n">
        <x:f>IFERROR(E9/$B$13,0)</x:f>
        <x:v>0.06827177647044048</x:v>
      </x:c>
    </x:row>
    <x:row r="10">
      <x:c r="A10" s="6" t="str">
        <x:v>Cost / SF</x:v>
      </x:c>
      <x:c r="B10" s="42" t="n">
        <x:f>B9/B7</x:f>
        <x:v>85.3448272776</x:v>
      </x:c>
      <x:c r="D10" t="str">
        <x:v>Openings</x:v>
      </x:c>
      <x:c r="E10" s="28" t="n">
        <x:f>SUMIFS('Estimate Details'!$N$4:$N$23,'Estimate Details'!$B$4:$B$23,D10)</x:f>
        <x:v>43672</x:v>
      </x:c>
      <x:c r="F10" s="30" t="n">
        <x:f>IFERROR(E10/$B$13,0)</x:f>
        <x:v>0.04985894685647286</x:v>
      </x:c>
    </x:row>
    <x:row r="11">
      <x:c r="D11" t="str">
        <x:v>Finishes</x:v>
      </x:c>
      <x:c r="E11" s="28" t="n">
        <x:f>SUMIFS('Estimate Details'!$N$4:$N$23,'Estimate Details'!$B$4:$B$23,D11)</x:f>
        <x:v>160295</x:v>
      </x:c>
      <x:c r="F11" s="30" t="n">
        <x:f>IFERROR(E11/$B$13,0)</x:f>
        <x:v>0.18300375266436886</x:v>
      </x:c>
    </x:row>
    <x:row r="12">
      <x:c r="A12" s="6" t="str">
        <x:v>Summary Item</x:v>
      </x:c>
      <x:c r="B12" s="6" t="str">
        <x:v>Amount</x:v>
      </x:c>
      <x:c r="D12" t="str">
        <x:v>MEP</x:v>
      </x:c>
      <x:c r="E12" s="28" t="n">
        <x:f>SUMIFS('Estimate Details'!$N$4:$N$23,'Estimate Details'!$B$4:$B$23,D12)</x:f>
        <x:v>352100</x:v>
      </x:c>
      <x:c r="F12" s="30" t="n">
        <x:f>IFERROR(E12/$B$13,0)</x:f>
        <x:v>0.40198147985354676</x:v>
      </x:c>
    </x:row>
    <x:row r="13">
      <x:c r="A13" t="str">
        <x:v>Direct Cost Subtotal</x:v>
      </x:c>
      <x:c r="B13" s="28" t="n">
        <x:f>SUM('Estimate Details'!N4:N23)</x:f>
        <x:v>875911</x:v>
      </x:c>
      <x:c r="D13" t="str">
        <x:v>Contingency</x:v>
      </x:c>
      <x:c r="E13" s="28" t="n">
        <x:f>SUMIFS('Estimate Details'!$N$4:$N$23,'Estimate Details'!$B$4:$B$23,D13)</x:f>
        <x:v>0</x:v>
      </x:c>
      <x:c r="F13" s="30" t="n">
        <x:f>IFERROR(E13/$B$13,0)</x:f>
        <x:v>0</x:v>
      </x:c>
    </x:row>
    <x:row r="14">
      <x:c r="A14" t="str">
        <x:v>Material Tax</x:v>
      </x:c>
      <x:c r="B14" s="28" t="n">
        <x:f>SUMIFS('Estimate Details'!$N$4:$N$23,'Estimate Details'!$E$4:$E$23,"Material")*'Rates &amp; Assumptions'!C16</x:f>
        <x:v>7455.525000000001</x:v>
      </x:c>
    </x:row>
    <x:row r="15">
      <x:c r="A15" t="str">
        <x:v>Insurance / Bond</x:v>
      </x:c>
      <x:c r="B15" s="28" t="n">
        <x:f>B13*'Rates &amp; Assumptions'!C17</x:f>
        <x:v>13138.664999999999</x:v>
      </x:c>
    </x:row>
    <x:row r="16">
      <x:c r="A16" t="str">
        <x:v>Small Tools</x:v>
      </x:c>
      <x:c r="B16" s="28" t="n">
        <x:f>SUMIFS('Estimate Details'!I4:I23,'Estimate Details'!E4:E23,"Labor")*AVERAGE('Rates &amp; Assumptions'!E4:E11)*'Rates &amp; Assumptions'!C18</x:f>
        <x:v>1483.3125</x:v>
      </x:c>
      <x:c r="D16" s="6" t="str">
        <x:v>Status</x:v>
      </x:c>
      <x:c r="E16" s="6" t="str">
        <x:v>Line Count</x:v>
      </x:c>
      <x:c r="F16" s="6" t="str">
        <x:v>Direct Cost</x:v>
      </x:c>
      <x:c r="G16" s="6" t="str">
        <x:v>Average Line Cost</x:v>
      </x:c>
      <x:c r="H16" s="6" t="str">
        <x:v>Notes</x:v>
      </x:c>
    </x:row>
    <x:row r="17">
      <x:c r="A17" t="str">
        <x:v>Subtotal Before OH&amp;P</x:v>
      </x:c>
      <x:c r="B17" s="28" t="n">
        <x:f>SUM(B13:B16)</x:f>
        <x:v>897988.5025000001</x:v>
      </x:c>
      <x:c r="D17" t="str">
        <x:v>Pending</x:v>
      </x:c>
      <x:c r="E17" t="n">
        <x:f>COUNTIF('Estimate Details'!$D$4:$D$23,D17)</x:f>
        <x:v>5</x:v>
      </x:c>
      <x:c r="F17" s="28" t="n">
        <x:f>SUMIFS('Estimate Details'!$N$4:$N$23,'Estimate Details'!$D$4:$D$23,D17)</x:f>
        <x:v>128270</x:v>
      </x:c>
      <x:c r="G17" s="28" t="n">
        <x:f>IFERROR(F17/E17,0)</x:f>
        <x:v>25654</x:v>
      </x:c>
      <x:c r="H17" t="str">
        <x:v>Needs follow-up</x:v>
      </x:c>
    </x:row>
    <x:row r="18">
      <x:c r="A18" t="str">
        <x:v>Overhead</x:v>
      </x:c>
      <x:c r="B18" s="28" t="n">
        <x:f>B17*'Rates &amp; Assumptions'!B10</x:f>
        <x:v>71839.08020000001</x:v>
      </x:c>
      <x:c r="D18" t="str">
        <x:v>Quoted</x:v>
      </x:c>
      <x:c r="E18" t="n">
        <x:f>COUNTIF('Estimate Details'!$D$4:$D$23,D18)</x:f>
        <x:v>10</x:v>
      </x:c>
      <x:c r="F18" s="28" t="n">
        <x:f>SUMIFS('Estimate Details'!$N$4:$N$23,'Estimate Details'!$D$4:$D$23,D18)</x:f>
        <x:v>637850</x:v>
      </x:c>
      <x:c r="G18" s="28" t="n">
        <x:f>IFERROR(F18/E18,0)</x:f>
        <x:v>63785</x:v>
      </x:c>
      <x:c r="H18" t="str">
        <x:v>Vendor quote received</x:v>
      </x:c>
    </x:row>
    <x:row r="19">
      <x:c r="A19" t="str">
        <x:v>Profit</x:v>
      </x:c>
      <x:c r="B19" s="28" t="n">
        <x:f>(B17+B18)*'Rates &amp; Assumptions'!B11</x:f>
        <x:v>96982.75827</x:v>
      </x:c>
      <x:c r="D19" t="str">
        <x:v>Approved</x:v>
      </x:c>
      <x:c r="E19" t="n">
        <x:f>COUNTIF('Estimate Details'!$D$4:$D$23,D19)</x:f>
        <x:v>5</x:v>
      </x:c>
      <x:c r="F19" s="28" t="n">
        <x:f>SUMIFS('Estimate Details'!$N$4:$N$23,'Estimate Details'!$D$4:$D$23,D19)</x:f>
        <x:v>109791</x:v>
      </x:c>
      <x:c r="G19" s="28" t="n">
        <x:f>IFERROR(F19/E19,0)</x:f>
        <x:v>21958.2</x:v>
      </x:c>
      <x:c r="H19" t="str">
        <x:v>Ready for bid</x:v>
      </x:c>
    </x:row>
    <x:row r="20">
      <x:c r="A20" s="46" t="str">
        <x:v>Total Bid</x:v>
      </x:c>
      <x:c r="B20" s="47" t="n">
        <x:f>SUM(B17:B19)</x:f>
        <x:v>1066810.34097</x:v>
      </x:c>
      <x:c r="D20" t="str">
        <x:v>Change Order</x:v>
      </x:c>
      <x:c r="E20" t="n">
        <x:f>COUNTIF('Estimate Details'!$D$4:$D$23,D20)</x:f>
        <x:v>0</x:v>
      </x:c>
      <x:c r="F20" s="28" t="n">
        <x:f>SUMIFS('Estimate Details'!$N$4:$N$23,'Estimate Details'!$D$4:$D$23,D20)</x:f>
        <x:v>0</x:v>
      </x:c>
      <x:c r="G20" s="28" t="n">
        <x:f>IFERROR(F20/E20,0)</x:f>
        <x:v>0</x:v>
      </x:c>
      <x:c r="H20" t="str">
        <x:v>Separate tracking</x:v>
      </x:c>
    </x:row>
    <x:row r="21">
      <x:c r="D21" t="str">
        <x:v>Excluded</x:v>
      </x:c>
      <x:c r="E21" t="n">
        <x:f>COUNTIF('Estimate Details'!$D$4:$D$23,D21)</x:f>
        <x:v>0</x:v>
      </x:c>
      <x:c r="F21" s="28" t="n">
        <x:f>SUMIFS('Estimate Details'!$N$4:$N$23,'Estimate Details'!$D$4:$D$23,D21)</x:f>
        <x:v>0</x:v>
      </x:c>
      <x:c r="G21" s="28" t="n">
        <x:f>IFERROR(F21/E21,0)</x:f>
        <x:v>0</x:v>
      </x:c>
      <x:c r="H21" t="str">
        <x:v>Not in bid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064f660676d4cb5"/>
  <x:tableParts count="1">
    <x:tablePart xmlns:r="http://schemas.openxmlformats.org/officeDocument/2006/relationships" r:id="Rcbba4c41c8b04f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.59000015258789" hidden="0" customWidth="1"/>
    <x:col min="2" max="2" width="17.360000610351562" hidden="0" customWidth="1"/>
    <x:col min="3" max="3" width="34" hidden="0" customWidth="1"/>
    <x:col min="4" max="4" width="9.829999923706055" hidden="0" customWidth="1"/>
    <x:col min="5" max="5" width="13.460000038146973" hidden="0" customWidth="1"/>
    <x:col min="6" max="6" width="9.829999923706055" hidden="0" customWidth="1"/>
    <x:col min="7" max="7" width="10.359999656677246" hidden="0" customWidth="1"/>
    <x:col min="8" max="8" width="10.09000015258789" hidden="0" customWidth="1"/>
    <x:col min="9" max="9" width="10.359999656677246" hidden="0" customWidth="1"/>
    <x:col min="10" max="10" width="11.4399995803833" hidden="0" customWidth="1"/>
    <x:col min="11" max="11" width="13.59000015258789" hidden="0" customWidth="1"/>
    <x:col min="12" max="12" width="15.479999542236328" hidden="0" customWidth="1"/>
    <x:col min="13" max="13" width="16.420000076293945" hidden="0" customWidth="1"/>
    <x:col min="14" max="14" width="10.359999656677246" hidden="0" customWidth="1"/>
    <x:col min="15" max="15" width="32" hidden="0" customWidth="1"/>
  </x:cols>
  <x:sheetData>
    <x:row r="1">
      <x:c r="A1" s="15" t="str">
        <x:v>DETAILED PROJECT ESTIMATE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</x:row>
    <x:row r="3">
      <x:c r="A3" s="6" t="str">
        <x:v>WBS</x:v>
      </x:c>
      <x:c r="B3" s="6" t="str">
        <x:v>Category</x:v>
      </x:c>
      <x:c r="C3" s="6" t="str">
        <x:v>Description</x:v>
      </x:c>
      <x:c r="D3" s="6" t="str">
        <x:v>Status</x:v>
      </x:c>
      <x:c r="E3" s="6" t="str">
        <x:v>Cost Type</x:v>
      </x:c>
      <x:c r="F3" s="6" t="str">
        <x:v>Quantity</x:v>
      </x:c>
      <x:c r="G3" s="6" t="str">
        <x:v>Unit</x:v>
      </x:c>
      <x:c r="H3" s="6" t="str">
        <x:v>Unit Cost</x:v>
      </x:c>
      <x:c r="I3" s="6" t="str">
        <x:v>Labor Hrs</x:v>
      </x:c>
      <x:c r="J3" s="6" t="str">
        <x:v>Labor Rate</x:v>
      </x:c>
      <x:c r="K3" s="6" t="str">
        <x:v>Material Cost</x:v>
      </x:c>
      <x:c r="L3" s="6" t="str">
        <x:v>Equipment Cost</x:v>
      </x:c>
      <x:c r="M3" s="6" t="str">
        <x:v>Subcontract Cost</x:v>
      </x:c>
      <x:c r="N3" s="6" t="str">
        <x:v>Line Total</x:v>
      </x:c>
      <x:c r="O3" s="6" t="str">
        <x:v>Notes</x:v>
      </x:c>
    </x:row>
    <x:row r="4">
      <x:c r="A4" s="34" t="str">
        <x:v>01-001</x:v>
      </x:c>
      <x:c r="B4" s="34" t="str">
        <x:v>General Conditions</x:v>
      </x:c>
      <x:c r="C4" s="34" t="str">
        <x:v>Mobilization and project setup</x:v>
      </x:c>
      <x:c r="D4" s="34" t="str">
        <x:v>Approved</x:v>
      </x:c>
      <x:c r="E4" s="34" t="str">
        <x:v>Other</x:v>
      </x:c>
      <x:c r="F4" s="38" t="n">
        <x:v>1</x:v>
      </x:c>
      <x:c r="G4" s="34" t="str">
        <x:v>LS</x:v>
      </x:c>
      <x:c r="H4" s="36" t="n">
        <x:v>7500</x:v>
      </x:c>
      <x:c r="I4" s="40" t="n">
        <x:v>0</x:v>
      </x:c>
      <x:c r="J4" s="36" t="n">
        <x:v>0</x:v>
      </x:c>
      <x:c r="K4" s="36" t="n">
        <x:v>0</x:v>
      </x:c>
      <x:c r="L4" s="36" t="n">
        <x:v>0</x:v>
      </x:c>
      <x:c r="M4" s="36" t="n">
        <x:v>0</x:v>
      </x:c>
      <x:c r="N4" s="36" t="n">
        <x:f>F4*H4+I4*J4+K4+L4+M4</x:f>
        <x:v>7500</x:v>
      </x:c>
      <x:c r="O4" s="34" t="str">
        <x:v>Temporary setup and closeout</x:v>
      </x:c>
    </x:row>
    <x:row r="5">
      <x:c r="A5" s="34" t="str">
        <x:v>01-002</x:v>
      </x:c>
      <x:c r="B5" s="34" t="str">
        <x:v>General Conditions</x:v>
      </x:c>
      <x:c r="C5" s="34" t="str">
        <x:v>Superintendent weekly oversight</x:v>
      </x:c>
      <x:c r="D5" s="34" t="str">
        <x:v>Approved</x:v>
      </x:c>
      <x:c r="E5" s="34" t="str">
        <x:v>Labor</x:v>
      </x:c>
      <x:c r="F5" s="38" t="n">
        <x:v>18</x:v>
      </x:c>
      <x:c r="G5" s="34" t="str">
        <x:v>WK</x:v>
      </x:c>
      <x:c r="H5" s="36" t="n">
        <x:v>0</x:v>
      </x:c>
      <x:c r="I5" s="40" t="n">
        <x:v>720</x:v>
      </x:c>
      <x:c r="J5" s="36" t="n">
        <x:v>62</x:v>
      </x:c>
      <x:c r="K5" s="36" t="n">
        <x:v>0</x:v>
      </x:c>
      <x:c r="L5" s="36" t="n">
        <x:v>0</x:v>
      </x:c>
      <x:c r="M5" s="36" t="n">
        <x:v>0</x:v>
      </x:c>
      <x:c r="N5" s="36" t="n">
        <x:f>F5*H5+I5*J5+K5+L5+M5</x:f>
        <x:v>44640</x:v>
      </x:c>
      <x:c r="O5" s="34" t="str">
        <x:v>40 hrs/week</x:v>
      </x:c>
    </x:row>
    <x:row r="6">
      <x:c r="A6" s="34" t="str">
        <x:v>01-003</x:v>
      </x:c>
      <x:c r="B6" s="34" t="str">
        <x:v>General Conditions</x:v>
      </x:c>
      <x:c r="C6" s="34" t="str">
        <x:v>Temporary facilities and utilities</x:v>
      </x:c>
      <x:c r="D6" s="34" t="str">
        <x:v>Quoted</x:v>
      </x:c>
      <x:c r="E6" s="34" t="str">
        <x:v>Other</x:v>
      </x:c>
      <x:c r="F6" s="38" t="n">
        <x:v>18</x:v>
      </x:c>
      <x:c r="G6" s="34" t="str">
        <x:v>WK</x:v>
      </x:c>
      <x:c r="H6" s="36" t="n">
        <x:v>425</x:v>
      </x:c>
      <x:c r="I6" s="40" t="n">
        <x:v>0</x:v>
      </x:c>
      <x:c r="J6" s="36" t="n">
        <x:v>0</x:v>
      </x:c>
      <x:c r="K6" s="36" t="n">
        <x:v>0</x:v>
      </x:c>
      <x:c r="L6" s="36" t="n">
        <x:v>0</x:v>
      </x:c>
      <x:c r="M6" s="36" t="n">
        <x:v>0</x:v>
      </x:c>
      <x:c r="N6" s="36" t="n">
        <x:f>F6*H6+I6*J6+K6+L6+M6</x:f>
        <x:v>7650</x:v>
      </x:c>
      <x:c r="O6" s="34" t="str">
        <x:v>Trailer, toilet, temp power</x:v>
      </x:c>
    </x:row>
    <x:row r="7">
      <x:c r="A7" s="34" t="str">
        <x:v>02-001</x:v>
      </x:c>
      <x:c r="B7" s="34" t="str">
        <x:v>Sitework</x:v>
      </x:c>
      <x:c r="C7" s="34" t="str">
        <x:v>Site clearing and rough grading</x:v>
      </x:c>
      <x:c r="D7" s="34" t="str">
        <x:v>Quoted</x:v>
      </x:c>
      <x:c r="E7" s="34" t="str">
        <x:v>Subcontractor</x:v>
      </x:c>
      <x:c r="F7" s="38" t="n">
        <x:v>1</x:v>
      </x:c>
      <x:c r="G7" s="34" t="str">
        <x:v>LS</x:v>
      </x:c>
      <x:c r="H7" s="36" t="n">
        <x:v>0</x:v>
      </x:c>
      <x:c r="I7" s="40" t="n">
        <x:v>0</x:v>
      </x:c>
      <x:c r="J7" s="36" t="n">
        <x:v>0</x:v>
      </x:c>
      <x:c r="K7" s="36" t="n">
        <x:v>0</x:v>
      </x:c>
      <x:c r="L7" s="36" t="n">
        <x:v>0</x:v>
      </x:c>
      <x:c r="M7" s="36" t="n">
        <x:v>18500</x:v>
      </x:c>
      <x:c r="N7" s="36" t="n">
        <x:f>F7*H7+I7*J7+K7+L7+M7</x:f>
        <x:v>18500</x:v>
      </x:c>
      <x:c r="O7" s="34" t="str">
        <x:v>Allowance quote</x:v>
      </x:c>
    </x:row>
    <x:row r="8">
      <x:c r="A8" s="34" t="str">
        <x:v>02-002</x:v>
      </x:c>
      <x:c r="B8" s="34" t="str">
        <x:v>Sitework</x:v>
      </x:c>
      <x:c r="C8" s="34" t="str">
        <x:v>Dumpster and haul-off allowance</x:v>
      </x:c>
      <x:c r="D8" s="34" t="str">
        <x:v>Pending</x:v>
      </x:c>
      <x:c r="E8" s="34" t="str">
        <x:v>Other</x:v>
      </x:c>
      <x:c r="F8" s="38" t="n">
        <x:v>6</x:v>
      </x:c>
      <x:c r="G8" s="34" t="str">
        <x:v>EA</x:v>
      </x:c>
      <x:c r="H8" s="36" t="n">
        <x:v>900</x:v>
      </x:c>
      <x:c r="I8" s="40" t="n">
        <x:v>0</x:v>
      </x:c>
      <x:c r="J8" s="36" t="n">
        <x:v>0</x:v>
      </x:c>
      <x:c r="K8" s="36" t="n">
        <x:v>0</x:v>
      </x:c>
      <x:c r="L8" s="36" t="n">
        <x:v>0</x:v>
      </x:c>
      <x:c r="M8" s="36" t="n">
        <x:v>0</x:v>
      </x:c>
      <x:c r="N8" s="36" t="n">
        <x:f>F8*H8+I8*J8+K8+L8+M8</x:f>
        <x:v>5400</x:v>
      </x:c>
      <x:c r="O8" s="34" t="str">
        <x:v>Construction waste</x:v>
      </x:c>
    </x:row>
    <x:row r="9">
      <x:c r="A9" s="34" t="str">
        <x:v>03-001</x:v>
      </x:c>
      <x:c r="B9" s="34" t="str">
        <x:v>Concrete</x:v>
      </x:c>
      <x:c r="C9" s="34" t="str">
        <x:v>Concrete slab on grade</x:v>
      </x:c>
      <x:c r="D9" s="34" t="str">
        <x:v>Quoted</x:v>
      </x:c>
      <x:c r="E9" s="34" t="str">
        <x:v>Subcontractor</x:v>
      </x:c>
      <x:c r="F9" s="38" t="n">
        <x:v>12500</x:v>
      </x:c>
      <x:c r="G9" s="34" t="str">
        <x:v>SF</x:v>
      </x:c>
      <x:c r="H9" s="36" t="n">
        <x:v>0</x:v>
      </x:c>
      <x:c r="I9" s="40" t="n">
        <x:v>0</x:v>
      </x:c>
      <x:c r="J9" s="36" t="n">
        <x:v>0</x:v>
      </x:c>
      <x:c r="K9" s="36" t="n">
        <x:v>0</x:v>
      </x:c>
      <x:c r="L9" s="36" t="n">
        <x:v>0</x:v>
      </x:c>
      <x:c r="M9" s="36" t="n">
        <x:v>47250</x:v>
      </x:c>
      <x:c r="N9" s="36" t="n">
        <x:f>F9*H9+I9*J9+K9+L9+M9</x:f>
        <x:v>47250</x:v>
      </x:c>
      <x:c r="O9" s="34" t="str">
        <x:v>Vendor quote</x:v>
      </x:c>
    </x:row>
    <x:row r="10">
      <x:c r="A10" s="34" t="str">
        <x:v>03-002</x:v>
      </x:c>
      <x:c r="B10" s="34" t="str">
        <x:v>Concrete</x:v>
      </x:c>
      <x:c r="C10" s="34" t="str">
        <x:v>Anchor bolts and embedded plates</x:v>
      </x:c>
      <x:c r="D10" s="34" t="str">
        <x:v>Pending</x:v>
      </x:c>
      <x:c r="E10" s="34" t="str">
        <x:v>Material</x:v>
      </x:c>
      <x:c r="F10" s="38" t="n">
        <x:v>1</x:v>
      </x:c>
      <x:c r="G10" s="34" t="str">
        <x:v>LS</x:v>
      </x:c>
      <x:c r="H10" s="36" t="n">
        <x:v>3200</x:v>
      </x:c>
      <x:c r="I10" s="40" t="n">
        <x:v>16</x:v>
      </x:c>
      <x:c r="J10" s="36" t="n">
        <x:v>48</x:v>
      </x:c>
      <x:c r="K10" s="36" t="n">
        <x:v>0</x:v>
      </x:c>
      <x:c r="L10" s="36" t="n">
        <x:v>0</x:v>
      </x:c>
      <x:c r="M10" s="36" t="n">
        <x:v>0</x:v>
      </x:c>
      <x:c r="N10" s="36" t="n">
        <x:f>F10*H10+I10*J10+K10+L10+M10</x:f>
        <x:v>3968</x:v>
      </x:c>
      <x:c r="O10" s="34" t="str">
        <x:v>Coordinate with steel</x:v>
      </x:c>
    </x:row>
    <x:row r="11">
      <x:c r="A11" s="34" t="str">
        <x:v>05-001</x:v>
      </x:c>
      <x:c r="B11" s="34" t="str">
        <x:v>Structural Steel</x:v>
      </x:c>
      <x:c r="C11" s="34" t="str">
        <x:v>Steel material and erection</x:v>
      </x:c>
      <x:c r="D11" s="34" t="str">
        <x:v>Quoted</x:v>
      </x:c>
      <x:c r="E11" s="34" t="str">
        <x:v>Subcontractor</x:v>
      </x:c>
      <x:c r="F11" s="38" t="n">
        <x:v>42</x:v>
      </x:c>
      <x:c r="G11" s="34" t="str">
        <x:v>TON</x:v>
      </x:c>
      <x:c r="H11" s="36" t="n">
        <x:v>0</x:v>
      </x:c>
      <x:c r="I11" s="40" t="n">
        <x:v>0</x:v>
      </x:c>
      <x:c r="J11" s="36" t="n">
        <x:v>0</x:v>
      </x:c>
      <x:c r="K11" s="36" t="n">
        <x:v>0</x:v>
      </x:c>
      <x:c r="L11" s="36" t="n">
        <x:v>0</x:v>
      </x:c>
      <x:c r="M11" s="36" t="n">
        <x:v>86300</x:v>
      </x:c>
      <x:c r="N11" s="36" t="n">
        <x:f>F11*H11+I11*J11+K11+L11+M11</x:f>
        <x:v>86300</x:v>
      </x:c>
      <x:c r="O11" s="34" t="str">
        <x:v>Vendor quote</x:v>
      </x:c>
    </x:row>
    <x:row r="12">
      <x:c r="A12" s="34" t="str">
        <x:v>06-001</x:v>
      </x:c>
      <x:c r="B12" s="34" t="str">
        <x:v>Carpentry</x:v>
      </x:c>
      <x:c r="C12" s="34" t="str">
        <x:v>Rough carpentry blocking</x:v>
      </x:c>
      <x:c r="D12" s="34" t="str">
        <x:v>Approved</x:v>
      </x:c>
      <x:c r="E12" s="34" t="str">
        <x:v>Labor</x:v>
      </x:c>
      <x:c r="F12" s="38" t="n">
        <x:v>1</x:v>
      </x:c>
      <x:c r="G12" s="34" t="str">
        <x:v>LS</x:v>
      </x:c>
      <x:c r="H12" s="36" t="n">
        <x:v>2400</x:v>
      </x:c>
      <x:c r="I12" s="40" t="n">
        <x:v>72</x:v>
      </x:c>
      <x:c r="J12" s="36" t="n">
        <x:v>38</x:v>
      </x:c>
      <x:c r="K12" s="36" t="n">
        <x:v>1200</x:v>
      </x:c>
      <x:c r="L12" s="36" t="n">
        <x:v>0</x:v>
      </x:c>
      <x:c r="M12" s="36" t="n">
        <x:v>0</x:v>
      </x:c>
      <x:c r="N12" s="36" t="n">
        <x:f>F12*H12+I12*J12+K12+L12+M12</x:f>
        <x:v>6336</x:v>
      </x:c>
      <x:c r="O12" s="34" t="str">
        <x:v>Blocking at doors and millwork</x:v>
      </x:c>
    </x:row>
    <x:row r="13">
      <x:c r="A13" s="34" t="str">
        <x:v>07-001</x:v>
      </x:c>
      <x:c r="B13" s="34" t="str">
        <x:v>Roofing</x:v>
      </x:c>
      <x:c r="C13" s="34" t="str">
        <x:v>TPO roof system</x:v>
      </x:c>
      <x:c r="D13" s="34" t="str">
        <x:v>Quoted</x:v>
      </x:c>
      <x:c r="E13" s="34" t="str">
        <x:v>Subcontractor</x:v>
      </x:c>
      <x:c r="F13" s="38" t="n">
        <x:v>12800</x:v>
      </x:c>
      <x:c r="G13" s="34" t="str">
        <x:v>SF</x:v>
      </x:c>
      <x:c r="H13" s="36" t="n">
        <x:v>0</x:v>
      </x:c>
      <x:c r="I13" s="40" t="n">
        <x:v>0</x:v>
      </x:c>
      <x:c r="J13" s="36" t="n">
        <x:v>0</x:v>
      </x:c>
      <x:c r="K13" s="36" t="n">
        <x:v>0</x:v>
      </x:c>
      <x:c r="L13" s="36" t="n">
        <x:v>0</x:v>
      </x:c>
      <x:c r="M13" s="36" t="n">
        <x:v>59800</x:v>
      </x:c>
      <x:c r="N13" s="36" t="n">
        <x:f>F13*H13+I13*J13+K13+L13+M13</x:f>
        <x:v>59800</x:v>
      </x:c>
      <x:c r="O13" s="34" t="str">
        <x:v>Vendor quote</x:v>
      </x:c>
    </x:row>
    <x:row r="14">
      <x:c r="A14" s="34" t="str">
        <x:v>08-001</x:v>
      </x:c>
      <x:c r="B14" s="34" t="str">
        <x:v>Openings</x:v>
      </x:c>
      <x:c r="C14" s="34" t="str">
        <x:v>Doors, frames, and hardware</x:v>
      </x:c>
      <x:c r="D14" s="34" t="str">
        <x:v>Pending</x:v>
      </x:c>
      <x:c r="E14" s="34" t="str">
        <x:v>Material</x:v>
      </x:c>
      <x:c r="F14" s="38" t="n">
        <x:v>28</x:v>
      </x:c>
      <x:c r="G14" s="34" t="str">
        <x:v>EA</x:v>
      </x:c>
      <x:c r="H14" s="36" t="n">
        <x:v>1450</x:v>
      </x:c>
      <x:c r="I14" s="40" t="n">
        <x:v>64</x:v>
      </x:c>
      <x:c r="J14" s="36" t="n">
        <x:v>48</x:v>
      </x:c>
      <x:c r="K14" s="36" t="n">
        <x:v>0</x:v>
      </x:c>
      <x:c r="L14" s="36" t="n">
        <x:v>0</x:v>
      </x:c>
      <x:c r="M14" s="36" t="n">
        <x:v>0</x:v>
      </x:c>
      <x:c r="N14" s="36" t="n">
        <x:f>F14*H14+I14*J14+K14+L14+M14</x:f>
        <x:v>43672</x:v>
      </x:c>
      <x:c r="O14" s="34" t="str">
        <x:v>Includes install labor</x:v>
      </x:c>
    </x:row>
    <x:row r="15">
      <x:c r="A15" s="34" t="str">
        <x:v>09-001</x:v>
      </x:c>
      <x:c r="B15" s="34" t="str">
        <x:v>Finishes</x:v>
      </x:c>
      <x:c r="C15" s="34" t="str">
        <x:v>Metal studs and drywall partitions</x:v>
      </x:c>
      <x:c r="D15" s="34" t="str">
        <x:v>Approved</x:v>
      </x:c>
      <x:c r="E15" s="34" t="str">
        <x:v>Labor</x:v>
      </x:c>
      <x:c r="F15" s="38" t="n">
        <x:v>12500</x:v>
      </x:c>
      <x:c r="G15" s="34" t="str">
        <x:v>SF</x:v>
      </x:c>
      <x:c r="H15" s="36" t="n">
        <x:v>2.95</x:v>
      </x:c>
      <x:c r="I15" s="40" t="n">
        <x:v>380</x:v>
      </x:c>
      <x:c r="J15" s="36" t="n">
        <x:v>38</x:v>
      </x:c>
      <x:c r="K15" s="36" t="n">
        <x:v>0</x:v>
      </x:c>
      <x:c r="L15" s="36" t="n">
        <x:v>0</x:v>
      </x:c>
      <x:c r="M15" s="36" t="n">
        <x:v>0</x:v>
      </x:c>
      <x:c r="N15" s="36" t="n">
        <x:f>F15*H15+I15*J15+K15+L15+M15</x:f>
        <x:v>51315</x:v>
      </x:c>
      <x:c r="O15" s="34" t="str">
        <x:v>Interior partitions</x:v>
      </x:c>
    </x:row>
    <x:row r="16">
      <x:c r="A16" s="34" t="str">
        <x:v>09-002</x:v>
      </x:c>
      <x:c r="B16" s="34" t="str">
        <x:v>Finishes</x:v>
      </x:c>
      <x:c r="C16" s="34" t="str">
        <x:v>ACT ceiling grid and tile</x:v>
      </x:c>
      <x:c r="D16" s="34" t="str">
        <x:v>Pending</x:v>
      </x:c>
      <x:c r="E16" s="34" t="str">
        <x:v>Material</x:v>
      </x:c>
      <x:c r="F16" s="38" t="n">
        <x:v>8600</x:v>
      </x:c>
      <x:c r="G16" s="34" t="str">
        <x:v>SF</x:v>
      </x:c>
      <x:c r="H16" s="36" t="n">
        <x:v>4.35</x:v>
      </x:c>
      <x:c r="I16" s="40" t="n">
        <x:v>140</x:v>
      </x:c>
      <x:c r="J16" s="36" t="n">
        <x:v>38</x:v>
      </x:c>
      <x:c r="K16" s="36" t="n">
        <x:v>0</x:v>
      </x:c>
      <x:c r="L16" s="36" t="n">
        <x:v>0</x:v>
      </x:c>
      <x:c r="M16" s="36" t="n">
        <x:v>0</x:v>
      </x:c>
      <x:c r="N16" s="36" t="n">
        <x:f>F16*H16+I16*J16+K16+L16+M16</x:f>
        <x:v>42730</x:v>
      </x:c>
      <x:c r="O16" s="34" t="str">
        <x:v>Installed ceiling</x:v>
      </x:c>
    </x:row>
    <x:row r="17">
      <x:c r="A17" s="34" t="str">
        <x:v>09-003</x:v>
      </x:c>
      <x:c r="B17" s="34" t="str">
        <x:v>Finishes</x:v>
      </x:c>
      <x:c r="C17" s="34" t="str">
        <x:v>Flooring package</x:v>
      </x:c>
      <x:c r="D17" s="34" t="str">
        <x:v>Quoted</x:v>
      </x:c>
      <x:c r="E17" s="34" t="str">
        <x:v>Subcontractor</x:v>
      </x:c>
      <x:c r="F17" s="38" t="n">
        <x:v>12500</x:v>
      </x:c>
      <x:c r="G17" s="34" t="str">
        <x:v>SF</x:v>
      </x:c>
      <x:c r="H17" s="36" t="n">
        <x:v>0</x:v>
      </x:c>
      <x:c r="I17" s="40" t="n">
        <x:v>0</x:v>
      </x:c>
      <x:c r="J17" s="36" t="n">
        <x:v>0</x:v>
      </x:c>
      <x:c r="K17" s="36" t="n">
        <x:v>0</x:v>
      </x:c>
      <x:c r="L17" s="36" t="n">
        <x:v>0</x:v>
      </x:c>
      <x:c r="M17" s="36" t="n">
        <x:v>38800</x:v>
      </x:c>
      <x:c r="N17" s="36" t="n">
        <x:f>F17*H17+I17*J17+K17+L17+M17</x:f>
        <x:v>38800</x:v>
      </x:c>
      <x:c r="O17" s="34" t="str">
        <x:v>Vendor quote</x:v>
      </x:c>
    </x:row>
    <x:row r="18">
      <x:c r="A18" s="34" t="str">
        <x:v>09-004</x:v>
      </x:c>
      <x:c r="B18" s="34" t="str">
        <x:v>Finishes</x:v>
      </x:c>
      <x:c r="C18" s="34" t="str">
        <x:v>Painting package</x:v>
      </x:c>
      <x:c r="D18" s="34" t="str">
        <x:v>Quoted</x:v>
      </x:c>
      <x:c r="E18" s="34" t="str">
        <x:v>Subcontractor</x:v>
      </x:c>
      <x:c r="F18" s="38" t="n">
        <x:v>12500</x:v>
      </x:c>
      <x:c r="G18" s="34" t="str">
        <x:v>SF</x:v>
      </x:c>
      <x:c r="H18" s="36" t="n">
        <x:v>0</x:v>
      </x:c>
      <x:c r="I18" s="40" t="n">
        <x:v>0</x:v>
      </x:c>
      <x:c r="J18" s="36" t="n">
        <x:v>0</x:v>
      </x:c>
      <x:c r="K18" s="36" t="n">
        <x:v>0</x:v>
      </x:c>
      <x:c r="L18" s="36" t="n">
        <x:v>0</x:v>
      </x:c>
      <x:c r="M18" s="36" t="n">
        <x:v>27450</x:v>
      </x:c>
      <x:c r="N18" s="36" t="n">
        <x:f>F18*H18+I18*J18+K18+L18+M18</x:f>
        <x:v>27450</x:v>
      </x:c>
      <x:c r="O18" s="34" t="str">
        <x:v>Vendor quote</x:v>
      </x:c>
    </x:row>
    <x:row r="19">
      <x:c r="A19" s="34" t="str">
        <x:v>22-001</x:v>
      </x:c>
      <x:c r="B19" s="34" t="str">
        <x:v>MEP</x:v>
      </x:c>
      <x:c r="C19" s="34" t="str">
        <x:v>Plumbing rough-in and fixtures</x:v>
      </x:c>
      <x:c r="D19" s="34" t="str">
        <x:v>Quoted</x:v>
      </x:c>
      <x:c r="E19" s="34" t="str">
        <x:v>Subcontractor</x:v>
      </x:c>
      <x:c r="F19" s="38" t="n">
        <x:v>1</x:v>
      </x:c>
      <x:c r="G19" s="34" t="str">
        <x:v>LS</x:v>
      </x:c>
      <x:c r="H19" s="36" t="n">
        <x:v>0</x:v>
      </x:c>
      <x:c r="I19" s="40" t="n">
        <x:v>0</x:v>
      </x:c>
      <x:c r="J19" s="36" t="n">
        <x:v>0</x:v>
      </x:c>
      <x:c r="K19" s="36" t="n">
        <x:v>0</x:v>
      </x:c>
      <x:c r="L19" s="36" t="n">
        <x:v>0</x:v>
      </x:c>
      <x:c r="M19" s="36" t="n">
        <x:v>74200</x:v>
      </x:c>
      <x:c r="N19" s="36" t="n">
        <x:f>F19*H19+I19*J19+K19+L19+M19</x:f>
        <x:v>74200</x:v>
      </x:c>
      <x:c r="O19" s="34" t="str">
        <x:v>Vendor quote</x:v>
      </x:c>
    </x:row>
    <x:row r="20">
      <x:c r="A20" s="34" t="str">
        <x:v>23-001</x:v>
      </x:c>
      <x:c r="B20" s="34" t="str">
        <x:v>MEP</x:v>
      </x:c>
      <x:c r="C20" s="34" t="str">
        <x:v>HVAC equipment and ductwork</x:v>
      </x:c>
      <x:c r="D20" s="34" t="str">
        <x:v>Quoted</x:v>
      </x:c>
      <x:c r="E20" s="34" t="str">
        <x:v>Subcontractor</x:v>
      </x:c>
      <x:c r="F20" s="38" t="n">
        <x:v>1</x:v>
      </x:c>
      <x:c r="G20" s="34" t="str">
        <x:v>LS</x:v>
      </x:c>
      <x:c r="H20" s="36" t="n">
        <x:v>0</x:v>
      </x:c>
      <x:c r="I20" s="40" t="n">
        <x:v>0</x:v>
      </x:c>
      <x:c r="J20" s="36" t="n">
        <x:v>0</x:v>
      </x:c>
      <x:c r="K20" s="36" t="n">
        <x:v>0</x:v>
      </x:c>
      <x:c r="L20" s="36" t="n">
        <x:v>0</x:v>
      </x:c>
      <x:c r="M20" s="36" t="n">
        <x:v>149500</x:v>
      </x:c>
      <x:c r="N20" s="36" t="n">
        <x:f>F20*H20+I20*J20+K20+L20+M20</x:f>
        <x:v>149500</x:v>
      </x:c>
      <x:c r="O20" s="34" t="str">
        <x:v>Vendor quote</x:v>
      </x:c>
    </x:row>
    <x:row r="21">
      <x:c r="A21" s="34" t="str">
        <x:v>26-001</x:v>
      </x:c>
      <x:c r="B21" s="34" t="str">
        <x:v>MEP</x:v>
      </x:c>
      <x:c r="C21" s="34" t="str">
        <x:v>Electrical power and lighting</x:v>
      </x:c>
      <x:c r="D21" s="34" t="str">
        <x:v>Quoted</x:v>
      </x:c>
      <x:c r="E21" s="34" t="str">
        <x:v>Subcontractor</x:v>
      </x:c>
      <x:c r="F21" s="38" t="n">
        <x:v>1</x:v>
      </x:c>
      <x:c r="G21" s="34" t="str">
        <x:v>LS</x:v>
      </x:c>
      <x:c r="H21" s="36" t="n">
        <x:v>0</x:v>
      </x:c>
      <x:c r="I21" s="40" t="n">
        <x:v>0</x:v>
      </x:c>
      <x:c r="J21" s="36" t="n">
        <x:v>0</x:v>
      </x:c>
      <x:c r="K21" s="36" t="n">
        <x:v>0</x:v>
      </x:c>
      <x:c r="L21" s="36" t="n">
        <x:v>0</x:v>
      </x:c>
      <x:c r="M21" s="36" t="n">
        <x:v>128400</x:v>
      </x:c>
      <x:c r="N21" s="36" t="n">
        <x:f>F21*H21+I21*J21+K21+L21+M21</x:f>
        <x:v>128400</x:v>
      </x:c>
      <x:c r="O21" s="34" t="str">
        <x:v>Vendor quote</x:v>
      </x:c>
    </x:row>
    <x:row r="22">
      <x:c r="A22" s="34" t="str">
        <x:v>32-001</x:v>
      </x:c>
      <x:c r="B22" s="34" t="str">
        <x:v>Sitework</x:v>
      </x:c>
      <x:c r="C22" s="34" t="str">
        <x:v>Paving and striping allowance</x:v>
      </x:c>
      <x:c r="D22" s="34" t="str">
        <x:v>Pending</x:v>
      </x:c>
      <x:c r="E22" s="34" t="str">
        <x:v>Subcontractor</x:v>
      </x:c>
      <x:c r="F22" s="38" t="n">
        <x:v>1</x:v>
      </x:c>
      <x:c r="G22" s="34" t="str">
        <x:v>LS</x:v>
      </x:c>
      <x:c r="H22" s="36" t="n">
        <x:v>0</x:v>
      </x:c>
      <x:c r="I22" s="40" t="n">
        <x:v>0</x:v>
      </x:c>
      <x:c r="J22" s="36" t="n">
        <x:v>0</x:v>
      </x:c>
      <x:c r="K22" s="36" t="n">
        <x:v>0</x:v>
      </x:c>
      <x:c r="L22" s="36" t="n">
        <x:v>0</x:v>
      </x:c>
      <x:c r="M22" s="36" t="n">
        <x:v>32500</x:v>
      </x:c>
      <x:c r="N22" s="36" t="n">
        <x:f>F22*H22+I22*J22+K22+L22+M22</x:f>
        <x:v>32500</x:v>
      </x:c>
      <x:c r="O22" s="34" t="str">
        <x:v>Placeholder allowance</x:v>
      </x:c>
    </x:row>
    <x:row r="23">
      <x:c r="A23" s="34" t="str">
        <x:v>99-001</x:v>
      </x:c>
      <x:c r="B23" s="34" t="str">
        <x:v>Contingency</x:v>
      </x:c>
      <x:c r="C23" s="34" t="str">
        <x:v>Estimator contingency allowance</x:v>
      </x:c>
      <x:c r="D23" s="34" t="str">
        <x:v>Approved</x:v>
      </x:c>
      <x:c r="E23" s="34" t="str">
        <x:v>Other</x:v>
      </x:c>
      <x:c r="F23" s="38" t="n">
        <x:v>1</x:v>
      </x:c>
      <x:c r="G23" s="34" t="str">
        <x:v>Allowance</x:v>
      </x:c>
      <x:c r="H23" s="36" t="n">
        <x:v>0</x:v>
      </x:c>
      <x:c r="I23" s="40" t="n">
        <x:v>0</x:v>
      </x:c>
      <x:c r="J23" s="36" t="n">
        <x:v>0</x:v>
      </x:c>
      <x:c r="K23" s="36" t="n">
        <x:v>0</x:v>
      </x:c>
      <x:c r="L23" s="36" t="n">
        <x:v>0</x:v>
      </x:c>
      <x:c r="M23" s="36" t="n">
        <x:v>0</x:v>
      </x:c>
      <x:c r="N23" s="36" t="n">
        <x:f>F23*H23+I23*J23+K23+L23+M23</x:f>
        <x:v>0</x:v>
      </x:c>
      <x:c r="O23" s="34" t="str">
        <x:v>Calculated on summary</x:v>
      </x:c>
    </x:row>
  </x:sheetData>
  <x:mergeCells>
    <x:mergeCell ref="A1:O1"/>
  </x:mergeCells>
  <x:conditionalFormatting sqref="D4:D23">
    <x:cfRule type="expression" dxfId="0" priority="1">
      <x:formula>D4="Pending"</x:formula>
    </x:cfRule>
  </x:conditionalFormatting>
  <x:conditionalFormatting sqref="N4:N23">
    <x:cfRule type="dataBar" priority="2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{9766436B-34DC-06DB-38A6-71695E1BBF13}</x14:id>
        </x:ext>
      </x:extLst>
    </x:cfRule>
  </x:conditionalFormatting>
  <x:dataValidations count="4">
    <x:dataValidation type="list" sqref="D4:D23">
      <x:formula1>Lists!$A$2:$A$6</x:formula1>
    </x:dataValidation>
    <x:dataValidation type="list" sqref="B4:B23">
      <x:formula1>Lists!$B$2:$B$12</x:formula1>
    </x:dataValidation>
    <x:dataValidation type="list" sqref="E4:E23">
      <x:formula1>Lists!$D$2:$D$6</x:formula1>
    </x:dataValidation>
    <x:dataValidation type="list" sqref="G4:G23">
      <x:formula1>Lists!$C$2:$C$14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364818c9c043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766436B-34DC-06DB-38A6-71695E1BBF13}">
            <x14:dataBar gradient="1">
              <x14:cfvo type="min"/>
              <x14:cfvo type="max"/>
              <x14:fillColor rgb="5B9BD5"/>
            </x14:dataBar>
          </x14:cfRule>
          <xm:sqref>N4:N23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53.70000076293945" hidden="0" customWidth="1"/>
    <x:col min="2" max="2" width="26" hidden="0" customWidth="1"/>
    <x:col min="3" max="3" width="4.849999904632568" hidden="0" customWidth="1"/>
    <x:col min="4" max="4" width="30" hidden="0" customWidth="1"/>
    <x:col min="5" max="5" width="14.399999618530273" hidden="0" customWidth="1"/>
    <x:col min="6" max="6" width="10.5" hidden="0" customWidth="1"/>
  </x:cols>
  <x:sheetData>
    <x:row r="1" ht="28" customHeight="1">
      <x:c r="A1" s="15" t="str">
        <x:v>PROJECT ESTIMATOR RATES &amp; ASSUMPTIONS</x:v>
      </x:c>
      <x:c r="B1"/>
      <x:c r="C1"/>
      <x:c r="D1"/>
      <x:c r="E1"/>
      <x:c r="F1"/>
    </x:row>
    <x:row r="3">
      <x:c r="A3" s="6" t="str">
        <x:v>Project Name</x:v>
      </x:c>
      <x:c r="B3" s="20" t="str">
        <x:v>Sample Commercial Build-Out</x:v>
      </x:c>
      <x:c r="D3" s="6" t="str">
        <x:v>Labor Role</x:v>
      </x:c>
      <x:c r="E3" s="6" t="str">
        <x:v>Base Rate / Hr</x:v>
      </x:c>
      <x:c r="F3" s="6" t="str">
        <x:v>Burden %</x:v>
      </x:c>
    </x:row>
    <x:row r="4">
      <x:c r="A4" s="6" t="str">
        <x:v>Location</x:v>
      </x:c>
      <x:c r="B4" s="26" t="str">
        <x:v>Lubbock, TX</x:v>
      </x:c>
      <x:c r="D4" t="str">
        <x:v>Project Manager</x:v>
      </x:c>
      <x:c r="E4" s="28" t="n">
        <x:v>68</x:v>
      </x:c>
      <x:c r="F4" s="30" t="n">
        <x:v>0.3</x:v>
      </x:c>
    </x:row>
    <x:row r="5">
      <x:c r="A5" s="6" t="str">
        <x:v>Estimator</x:v>
      </x:c>
      <x:c r="B5" s="26" t="str">
        <x:v>Estimator Name</x:v>
      </x:c>
      <x:c r="D5" t="str">
        <x:v>Superintendent</x:v>
      </x:c>
      <x:c r="E5" s="28" t="n">
        <x:v>62</x:v>
      </x:c>
      <x:c r="F5" s="30" t="n">
        <x:v>0.28</x:v>
      </x:c>
    </x:row>
    <x:row r="6">
      <x:c r="A6" s="6" t="str">
        <x:v>Estimate Date</x:v>
      </x:c>
      <x:c r="B6" s="22" t="n">
        <x:v>46162</x:v>
      </x:c>
      <x:c r="D6" t="str">
        <x:v>Foreman</x:v>
      </x:c>
      <x:c r="E6" s="28" t="n">
        <x:v>48</x:v>
      </x:c>
      <x:c r="F6" s="30" t="n">
        <x:v>0.25</x:v>
      </x:c>
    </x:row>
    <x:row r="7">
      <x:c r="A7" s="6" t="str">
        <x:v>Bid Due Date</x:v>
      </x:c>
      <x:c r="B7" s="22" t="n">
        <x:v>46183</x:v>
      </x:c>
      <x:c r="D7" t="str">
        <x:v>Carpenter</x:v>
      </x:c>
      <x:c r="E7" s="28" t="n">
        <x:v>38</x:v>
      </x:c>
      <x:c r="F7" s="30" t="n">
        <x:v>0.22</x:v>
      </x:c>
    </x:row>
    <x:row r="8">
      <x:c r="A8" s="6" t="str">
        <x:v>Gross Area (SF)</x:v>
      </x:c>
      <x:c r="B8" s="24" t="n">
        <x:v>12500</x:v>
      </x:c>
      <x:c r="D8" t="str">
        <x:v>Laborer</x:v>
      </x:c>
      <x:c r="E8" s="28" t="n">
        <x:v>28</x:v>
      </x:c>
      <x:c r="F8" s="30" t="n">
        <x:v>0.2</x:v>
      </x:c>
    </x:row>
    <x:row r="9">
      <x:c r="A9" s="6" t="str">
        <x:v>Construction Duration (Weeks)</x:v>
      </x:c>
      <x:c r="B9" s="24" t="n">
        <x:v>18</x:v>
      </x:c>
      <x:c r="D9" t="str">
        <x:v>Electrician</x:v>
      </x:c>
      <x:c r="E9" s="28" t="n">
        <x:v>52</x:v>
      </x:c>
      <x:c r="F9" s="30" t="n">
        <x:v>0.26</x:v>
      </x:c>
    </x:row>
    <x:row r="10">
      <x:c r="A10" s="6" t="str">
        <x:v>Overhead %</x:v>
      </x:c>
      <x:c r="B10" s="24" t="n">
        <x:v>0.08</x:v>
      </x:c>
      <x:c r="D10" t="str">
        <x:v>Plumber</x:v>
      </x:c>
      <x:c r="E10" s="28" t="n">
        <x:v>55</x:v>
      </x:c>
      <x:c r="F10" s="30" t="n">
        <x:v>0.26</x:v>
      </x:c>
    </x:row>
    <x:row r="11">
      <x:c r="A11" s="6" t="str">
        <x:v>Profit %</x:v>
      </x:c>
      <x:c r="B11" s="20" t="n">
        <x:v>0.1</x:v>
      </x:c>
      <x:c r="D11" t="str">
        <x:v>HVAC Tech</x:v>
      </x:c>
      <x:c r="E11" s="28" t="n">
        <x:v>54</x:v>
      </x:c>
      <x:c r="F11" s="30" t="n">
        <x:v>0.26</x:v>
      </x:c>
    </x:row>
    <x:row r="12">
      <x:c r="A12" s="6" t="str">
        <x:v>Contingency %</x:v>
      </x:c>
      <x:c r="B12" s="20" t="n">
        <x:v>0.05</x:v>
      </x:c>
    </x:row>
    <x:row r="15">
      <x:c r="A15" s="6" t="str">
        <x:v>Markup Basis</x:v>
      </x:c>
      <x:c r="B15" s="6" t="str">
        <x:v>Formula / Use</x:v>
      </x:c>
      <x:c r="C15" s="6" t="str">
        <x:v>Value</x:v>
      </x:c>
      <x:c r="D15" s="6" t="str">
        <x:v>Notes</x:v>
      </x:c>
      <x:c r="E15" s="6"/>
      <x:c r="F15" s="6"/>
    </x:row>
    <x:row r="16">
      <x:c r="A16" t="str">
        <x:v>Material Tax</x:v>
      </x:c>
      <x:c r="B16" t="str">
        <x:v>Applied to taxable materials only</x:v>
      </x:c>
      <x:c r="C16" s="30" t="n">
        <x:v>0.0825</x:v>
      </x:c>
      <x:c r="D16" t="str">
        <x:v>Adjust per project location</x:v>
      </x:c>
    </x:row>
    <x:row r="17">
      <x:c r="A17" t="str">
        <x:v>Insurance/Bond</x:v>
      </x:c>
      <x:c r="B17" t="str">
        <x:v>Applied to subtotal before OH&amp;P</x:v>
      </x:c>
      <x:c r="C17" s="30" t="n">
        <x:v>0.015</x:v>
      </x:c>
      <x:c r="D17" t="str">
        <x:v>Typical placeholder</x:v>
      </x:c>
    </x:row>
    <x:row r="18">
      <x:c r="A18" t="str">
        <x:v>Small Tools</x:v>
      </x:c>
      <x:c r="B18" t="str">
        <x:v>Applied to direct labor</x:v>
      </x:c>
      <x:c r="C18" s="30" t="n">
        <x:v>0.025</x:v>
      </x:c>
      <x:c r="D18" t="str">
        <x:v>Field consumables</x:v>
      </x:c>
    </x:row>
    <x:row r="19">
      <x:c r="A19" t="str">
        <x:v>Waste Factor</x:v>
      </x:c>
      <x:c r="B19" t="str">
        <x:v>Applied selectively by item</x:v>
      </x:c>
      <x:c r="C19" s="30" t="n">
        <x:v>0.1</x:v>
      </x:c>
      <x:c r="D19" t="str">
        <x:v>Use for drywall, flooring, framing</x:v>
      </x:c>
    </x:row>
    <x:row r="20">
      <x:c r="A20" t="str">
        <x:v>Escalation</x:v>
      </x:c>
      <x:c r="B20" t="str">
        <x:v>Applied if quote expires before bid</x:v>
      </x:c>
      <x:c r="C20" s="30" t="n">
        <x:v>0.03</x:v>
      </x:c>
      <x:c r="D20" t="str">
        <x:v>Optional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720570a207b48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.9900016784668" hidden="0" customWidth="1"/>
    <x:col min="2" max="2" width="19.3799991607666" hidden="0" customWidth="1"/>
    <x:col min="3" max="3" width="10.229999542236328" hidden="0" customWidth="1"/>
    <x:col min="4" max="4" width="11.170000076293945" hidden="0" customWidth="1"/>
    <x:col min="5" max="5" width="18.170000076293945" hidden="0" customWidth="1"/>
    <x:col min="6" max="6" width="11.979999542236328" hidden="0" customWidth="1"/>
    <x:col min="7" max="7" width="14.800000190734863" hidden="0" customWidth="1"/>
    <x:col min="8" max="8" width="32" hidden="0" customWidth="1"/>
  </x:cols>
  <x:sheetData>
    <x:row r="1">
      <x:c r="A1" s="15" t="str">
        <x:v>VENDOR / SUBCONTRACTOR QUOTE LOG</x:v>
      </x:c>
      <x:c r="B1"/>
      <x:c r="C1"/>
      <x:c r="D1"/>
      <x:c r="E1"/>
      <x:c r="F1"/>
      <x:c r="G1"/>
      <x:c r="H1"/>
    </x:row>
    <x:row r="3">
      <x:c r="A3" s="6" t="str">
        <x:v>Trade</x:v>
      </x:c>
      <x:c r="B3" s="6" t="str">
        <x:v>Company</x:v>
      </x:c>
      <x:c r="C3" s="6" t="str">
        <x:v>Contact</x:v>
      </x:c>
      <x:c r="D3" s="6" t="str">
        <x:v>Phone</x:v>
      </x:c>
      <x:c r="E3" s="6" t="str">
        <x:v>Email</x:v>
      </x:c>
      <x:c r="F3" s="6" t="str">
        <x:v>Quote Date</x:v>
      </x:c>
      <x:c r="G3" s="6" t="str">
        <x:v>Quote Amount</x:v>
      </x:c>
      <x:c r="H3" s="6" t="str">
        <x:v>Notes</x:v>
      </x:c>
    </x:row>
    <x:row r="4">
      <x:c r="A4" t="str">
        <x:v>Concrete</x:v>
      </x:c>
      <x:c r="B4" t="str">
        <x:v>West Plains Concrete</x:v>
      </x:c>
      <x:c r="C4" t="str">
        <x:v>Maria Lopez</x:v>
      </x:c>
      <x:c r="D4" t="str">
        <x:v>806-555-0112</x:v>
      </x:c>
      <x:c r="E4" t="str">
        <x:v>mlopez@example.com</x:v>
      </x:c>
      <x:c r="F4" s="32" t="n">
        <x:v>46154</x:v>
      </x:c>
      <x:c r="G4" s="28" t="n">
        <x:v>47250</x:v>
      </x:c>
      <x:c r="H4" t="str">
        <x:v>Includes slab and footings</x:v>
      </x:c>
    </x:row>
    <x:row r="5">
      <x:c r="A5" t="str">
        <x:v>Structural Steel</x:v>
      </x:c>
      <x:c r="B5" t="str">
        <x:v>Caprock Steel Supply</x:v>
      </x:c>
      <x:c r="C5" t="str">
        <x:v>Daniel Reed</x:v>
      </x:c>
      <x:c r="D5" t="str">
        <x:v>806-555-0181</x:v>
      </x:c>
      <x:c r="E5" t="str">
        <x:v>dreed@example.com</x:v>
      </x:c>
      <x:c r="F5" s="32" t="n">
        <x:v>46155</x:v>
      </x:c>
      <x:c r="G5" s="28" t="n">
        <x:v>86300</x:v>
      </x:c>
      <x:c r="H5" t="str">
        <x:v>Excludes embed coordination</x:v>
      </x:c>
    </x:row>
    <x:row r="6">
      <x:c r="A6" t="str">
        <x:v>Roofing</x:v>
      </x:c>
      <x:c r="B6" t="str">
        <x:v>High Plains Roofing</x:v>
      </x:c>
      <x:c r="C6" t="str">
        <x:v>Steven Clark</x:v>
      </x:c>
      <x:c r="D6" t="str">
        <x:v>806-555-0177</x:v>
      </x:c>
      <x:c r="E6" t="str">
        <x:v>sclark@example.com</x:v>
      </x:c>
      <x:c r="F6" s="32" t="n">
        <x:v>46157</x:v>
      </x:c>
      <x:c r="G6" s="28" t="n">
        <x:v>59800</x:v>
      </x:c>
      <x:c r="H6" t="str">
        <x:v>TPO roof allowance</x:v>
      </x:c>
    </x:row>
    <x:row r="7">
      <x:c r="A7" t="str">
        <x:v>Electrical</x:v>
      </x:c>
      <x:c r="B7" t="str">
        <x:v>Red Raider Electric</x:v>
      </x:c>
      <x:c r="C7" t="str">
        <x:v>Priya Shah</x:v>
      </x:c>
      <x:c r="D7" t="str">
        <x:v>806-555-0133</x:v>
      </x:c>
      <x:c r="E7" t="str">
        <x:v>pshah@example.com</x:v>
      </x:c>
      <x:c r="F7" s="32" t="n">
        <x:v>46158</x:v>
      </x:c>
      <x:c r="G7" s="28" t="n">
        <x:v>128400</x:v>
      </x:c>
      <x:c r="H7" t="str">
        <x:v>Lighting package included</x:v>
      </x:c>
    </x:row>
    <x:row r="8">
      <x:c r="A8" t="str">
        <x:v>Plumbing</x:v>
      </x:c>
      <x:c r="B8" t="str">
        <x:v>Hub City Plumbing</x:v>
      </x:c>
      <x:c r="C8" t="str">
        <x:v>John Miller</x:v>
      </x:c>
      <x:c r="D8" t="str">
        <x:v>806-555-0166</x:v>
      </x:c>
      <x:c r="E8" t="str">
        <x:v>jmiller@example.com</x:v>
      </x:c>
      <x:c r="F8" s="32" t="n">
        <x:v>46158</x:v>
      </x:c>
      <x:c r="G8" s="28" t="n">
        <x:v>74200</x:v>
      </x:c>
      <x:c r="H8" t="str">
        <x:v>Fixture allowance included</x:v>
      </x:c>
    </x:row>
    <x:row r="9">
      <x:c r="A9" t="str">
        <x:v>HVAC</x:v>
      </x:c>
      <x:c r="B9" t="str">
        <x:v>South Plains Mechanical</x:v>
      </x:c>
      <x:c r="C9" t="str">
        <x:v>Emily Carter</x:v>
      </x:c>
      <x:c r="D9" t="str">
        <x:v>806-555-0150</x:v>
      </x:c>
      <x:c r="E9" t="str">
        <x:v>ecarter@example.com</x:v>
      </x:c>
      <x:c r="F9" s="32" t="n">
        <x:v>46159</x:v>
      </x:c>
      <x:c r="G9" s="28" t="n">
        <x:v>149500</x:v>
      </x:c>
      <x:c r="H9" t="str">
        <x:v>RTUs and ductwork</x:v>
      </x:c>
    </x:row>
    <x:row r="10">
      <x:c r="A10" t="str">
        <x:v>Flooring</x:v>
      </x:c>
      <x:c r="B10" t="str">
        <x:v>Llano Flooring Co.</x:v>
      </x:c>
      <x:c r="C10" t="str">
        <x:v>Ahmed Khan</x:v>
      </x:c>
      <x:c r="D10" t="str">
        <x:v>806-555-0199</x:v>
      </x:c>
      <x:c r="E10" t="str">
        <x:v>akhan@example.com</x:v>
      </x:c>
      <x:c r="F10" s="32" t="n">
        <x:v>46160</x:v>
      </x:c>
      <x:c r="G10" s="28" t="n">
        <x:v>38800</x:v>
      </x:c>
      <x:c r="H10" t="str">
        <x:v>LVT and carpet tile</x:v>
      </x:c>
    </x:row>
    <x:row r="11">
      <x:c r="A11" t="str">
        <x:v>Painting</x:v>
      </x:c>
      <x:c r="B11" t="str">
        <x:v>Prairie Paintworks</x:v>
      </x:c>
      <x:c r="C11" t="str">
        <x:v>Chris Young</x:v>
      </x:c>
      <x:c r="D11" t="str">
        <x:v>806-555-0144</x:v>
      </x:c>
      <x:c r="E11" t="str">
        <x:v>cyoung@example.com</x:v>
      </x:c>
      <x:c r="F11" s="32" t="n">
        <x:v>46160</x:v>
      </x:c>
      <x:c r="G11" s="28" t="n">
        <x:v>27450</x:v>
      </x:c>
      <x:c r="H11" t="str">
        <x:v>Walls, frames, and doors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f375274578942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3.29999923706055" hidden="0" customWidth="1"/>
    <x:col min="2" max="2" width="38" hidden="0" customWidth="1"/>
    <x:col min="3" max="3" width="9.829999923706055" hidden="0" customWidth="1"/>
    <x:col min="4" max="4" width="6.190000057220459" hidden="0" customWidth="1"/>
    <x:col min="5" max="5" width="12.520000457763672" hidden="0" customWidth="1"/>
    <x:col min="6" max="6" width="12.649999618530273" hidden="0" customWidth="1"/>
    <x:col min="7" max="7" width="36" hidden="0" customWidth="1"/>
  </x:cols>
  <x:sheetData>
    <x:row r="1">
      <x:c r="A1" s="15" t="str">
        <x:v>PROJECT SCOPE / QUANTITY TAKEOFF NOTES</x:v>
      </x:c>
      <x:c r="B1"/>
      <x:c r="C1"/>
      <x:c r="D1"/>
      <x:c r="E1"/>
      <x:c r="F1"/>
      <x:c r="G1"/>
    </x:row>
    <x:row r="3">
      <x:c r="A3" s="6" t="str">
        <x:v>Area / System</x:v>
      </x:c>
      <x:c r="B3" s="6" t="str">
        <x:v>Scope Description</x:v>
      </x:c>
      <x:c r="C3" s="6" t="str">
        <x:v>Quantity</x:v>
      </x:c>
      <x:c r="D3" s="6" t="str">
        <x:v>Unit</x:v>
      </x:c>
      <x:c r="E3" s="6" t="str">
        <x:v>Drawing Ref</x:v>
      </x:c>
      <x:c r="F3" s="6" t="str">
        <x:v>In Estimate?</x:v>
      </x:c>
      <x:c r="G3" s="6" t="str">
        <x:v>Notes</x:v>
      </x:c>
    </x:row>
    <x:row r="4">
      <x:c r="A4" t="str">
        <x:v>Site</x:v>
      </x:c>
      <x:c r="B4" t="str">
        <x:v>Mobilization, temporary fencing, dumpsters</x:v>
      </x:c>
      <x:c r="C4" t="n">
        <x:v>1</x:v>
      </x:c>
      <x:c r="D4" t="str">
        <x:v>LS</x:v>
      </x:c>
      <x:c r="E4" t="str">
        <x:v>C-001</x:v>
      </x:c>
      <x:c r="F4" t="str">
        <x:v>Yes</x:v>
      </x:c>
      <x:c r="G4" t="str">
        <x:v>General project setup</x:v>
      </x:c>
    </x:row>
    <x:row r="5">
      <x:c r="A5" t="str">
        <x:v>Foundations</x:v>
      </x:c>
      <x:c r="B5" t="str">
        <x:v>Concrete slab, grade beams, vapor barrier</x:v>
      </x:c>
      <x:c r="C5" t="n">
        <x:v>12500</x:v>
      </x:c>
      <x:c r="D5" t="str">
        <x:v>SF</x:v>
      </x:c>
      <x:c r="E5" t="str">
        <x:v>S-101</x:v>
      </x:c>
      <x:c r="F5" t="str">
        <x:v>Yes</x:v>
      </x:c>
      <x:c r="G5" t="str">
        <x:v>Based on conceptual plan</x:v>
      </x:c>
    </x:row>
    <x:row r="6">
      <x:c r="A6" t="str">
        <x:v>Shell</x:v>
      </x:c>
      <x:c r="B6" t="str">
        <x:v>Structural steel framing and decking</x:v>
      </x:c>
      <x:c r="C6" t="n">
        <x:v>42</x:v>
      </x:c>
      <x:c r="D6" t="str">
        <x:v>TON</x:v>
      </x:c>
      <x:c r="E6" t="str">
        <x:v>S-201</x:v>
      </x:c>
      <x:c r="F6" t="str">
        <x:v>Yes</x:v>
      </x:c>
      <x:c r="G6" t="str">
        <x:v>Includes erection</x:v>
      </x:c>
    </x:row>
    <x:row r="7">
      <x:c r="A7" t="str">
        <x:v>Roof</x:v>
      </x:c>
      <x:c r="B7" t="str">
        <x:v>TPO roofing system</x:v>
      </x:c>
      <x:c r="C7" t="n">
        <x:v>12800</x:v>
      </x:c>
      <x:c r="D7" t="str">
        <x:v>SF</x:v>
      </x:c>
      <x:c r="E7" t="str">
        <x:v>A-301</x:v>
      </x:c>
      <x:c r="F7" t="str">
        <x:v>Yes</x:v>
      </x:c>
      <x:c r="G7" t="str">
        <x:v>Includes insulation</x:v>
      </x:c>
    </x:row>
    <x:row r="8">
      <x:c r="A8" t="str">
        <x:v>Interior</x:v>
      </x:c>
      <x:c r="B8" t="str">
        <x:v>Metal studs, drywall, acoustical ceilings</x:v>
      </x:c>
      <x:c r="C8" t="n">
        <x:v>12500</x:v>
      </x:c>
      <x:c r="D8" t="str">
        <x:v>SF</x:v>
      </x:c>
      <x:c r="E8" t="str">
        <x:v>A-601</x:v>
      </x:c>
      <x:c r="F8" t="str">
        <x:v>Yes</x:v>
      </x:c>
      <x:c r="G8" t="str">
        <x:v>Tenant build-out</x:v>
      </x:c>
    </x:row>
    <x:row r="9">
      <x:c r="A9" t="str">
        <x:v>Openings</x:v>
      </x:c>
      <x:c r="B9" t="str">
        <x:v>Hollow metal doors, frames, hardware</x:v>
      </x:c>
      <x:c r="C9" t="n">
        <x:v>28</x:v>
      </x:c>
      <x:c r="D9" t="str">
        <x:v>EA</x:v>
      </x:c>
      <x:c r="E9" t="str">
        <x:v>A-701</x:v>
      </x:c>
      <x:c r="F9" t="str">
        <x:v>Yes</x:v>
      </x:c>
      <x:c r="G9" t="str">
        <x:v>Door schedule basis</x:v>
      </x:c>
    </x:row>
    <x:row r="10">
      <x:c r="A10" t="str">
        <x:v>Finishes</x:v>
      </x:c>
      <x:c r="B10" t="str">
        <x:v>Flooring, paint, wall base</x:v>
      </x:c>
      <x:c r="C10" t="n">
        <x:v>12500</x:v>
      </x:c>
      <x:c r="D10" t="str">
        <x:v>SF</x:v>
      </x:c>
      <x:c r="E10" t="str">
        <x:v>A-801</x:v>
      </x:c>
      <x:c r="F10" t="str">
        <x:v>Yes</x:v>
      </x:c>
      <x:c r="G10" t="str">
        <x:v>Allowance level pricing</x:v>
      </x:c>
    </x:row>
    <x:row r="11">
      <x:c r="A11" t="str">
        <x:v>MEP</x:v>
      </x:c>
      <x:c r="B11" t="str">
        <x:v>Electrical, plumbing, HVAC systems</x:v>
      </x:c>
      <x:c r="C11" t="n">
        <x:v>12500</x:v>
      </x:c>
      <x:c r="D11" t="str">
        <x:v>SF</x:v>
      </x:c>
      <x:c r="E11" t="str">
        <x:v>M/E/P</x:v>
      </x:c>
      <x:c r="F11" t="str">
        <x:v>Yes</x:v>
      </x:c>
      <x:c r="G11" t="str">
        <x:v>Subcontractor quotes</x:v>
      </x:c>
    </x:row>
    <x:row r="12">
      <x:c r="A12" t="str">
        <x:v>Exclusions</x:v>
      </x:c>
      <x:c r="B12" t="str">
        <x:v>Permits, utility tap fees, owner furniture</x:v>
      </x:c>
      <x:c r="C12" t="n">
        <x:v>1</x:v>
      </x:c>
      <x:c r="D12" t="str">
        <x:v>LS</x:v>
      </x:c>
      <x:c r="E12" t="str">
        <x:v>N/A</x:v>
      </x:c>
      <x:c r="F12" t="str">
        <x:v>No</x:v>
      </x:c>
      <x:c r="G12" t="str">
        <x:v>Excluded unless added by owner</x:v>
      </x:c>
    </x:row>
  </x:sheetData>
  <x:mergeCells>
    <x:mergeCell ref="A1:G1"/>
  </x:mergeCells>
  <x:dataValidations count="1">
    <x:dataValidation type="list" sqref="F4:F12">
      <x:formula1>"Yes,No,TBD"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a28cae4a1a42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Status</x:v>
      </x:c>
      <x:c r="B1" s="6" t="str">
        <x:v>Category</x:v>
      </x:c>
      <x:c r="C1" s="6" t="str">
        <x:v>Unit</x:v>
      </x:c>
      <x:c r="D1" s="6" t="str">
        <x:v>Cost Type</x:v>
      </x:c>
    </x:row>
    <x:row r="2">
      <x:c r="A2" t="str">
        <x:v>Pending</x:v>
      </x:c>
      <x:c r="B2" t="str">
        <x:v>Sitework</x:v>
      </x:c>
      <x:c r="C2" t="str">
        <x:v>LS</x:v>
      </x:c>
      <x:c r="D2" t="str">
        <x:v>Material</x:v>
      </x:c>
    </x:row>
    <x:row r="3">
      <x:c r="A3" t="str">
        <x:v>Quoted</x:v>
      </x:c>
      <x:c r="B3" t="str">
        <x:v>Concrete</x:v>
      </x:c>
      <x:c r="C3" t="str">
        <x:v>EA</x:v>
      </x:c>
      <x:c r="D3" t="str">
        <x:v>Labor</x:v>
      </x:c>
    </x:row>
    <x:row r="4">
      <x:c r="A4" t="str">
        <x:v>Approved</x:v>
      </x:c>
      <x:c r="B4" t="str">
        <x:v>Masonry</x:v>
      </x:c>
      <x:c r="C4" t="str">
        <x:v>SF</x:v>
      </x:c>
      <x:c r="D4" t="str">
        <x:v>Equipment</x:v>
      </x:c>
    </x:row>
    <x:row r="5">
      <x:c r="A5" t="str">
        <x:v>Change Order</x:v>
      </x:c>
      <x:c r="B5" t="str">
        <x:v>Structural Steel</x:v>
      </x:c>
      <x:c r="C5" t="str">
        <x:v>SY</x:v>
      </x:c>
      <x:c r="D5" t="str">
        <x:v>Subcontractor</x:v>
      </x:c>
    </x:row>
    <x:row r="6">
      <x:c r="A6" t="str">
        <x:v>Excluded</x:v>
      </x:c>
      <x:c r="B6" t="str">
        <x:v>Carpentry</x:v>
      </x:c>
      <x:c r="C6" t="str">
        <x:v>LF</x:v>
      </x:c>
      <x:c r="D6" t="str">
        <x:v>Other</x:v>
      </x:c>
    </x:row>
    <x:row r="7">
      <x:c r="B7" t="str">
        <x:v>Roofing</x:v>
      </x:c>
      <x:c r="C7" t="str">
        <x:v>CY</x:v>
      </x:c>
    </x:row>
    <x:row r="8">
      <x:c r="B8" t="str">
        <x:v>Openings</x:v>
      </x:c>
      <x:c r="C8" t="str">
        <x:v>TON</x:v>
      </x:c>
    </x:row>
    <x:row r="9">
      <x:c r="B9" t="str">
        <x:v>Finishes</x:v>
      </x:c>
      <x:c r="C9" t="str">
        <x:v>HR</x:v>
      </x:c>
    </x:row>
    <x:row r="10">
      <x:c r="B10" t="str">
        <x:v>MEP</x:v>
      </x:c>
      <x:c r="C10" t="str">
        <x:v>DAY</x:v>
      </x:c>
    </x:row>
    <x:row r="11">
      <x:c r="B11" t="str">
        <x:v>General Conditions</x:v>
      </x:c>
      <x:c r="C11" t="str">
        <x:v>WK</x:v>
      </x:c>
    </x:row>
    <x:row r="12">
      <x:c r="B12" t="str">
        <x:v>Contingency</x:v>
      </x:c>
      <x:c r="C12" t="str">
        <x:v>MO</x:v>
      </x:c>
    </x:row>
    <x:row r="13">
      <x:c r="C13" t="str">
        <x:v>Allowance</x:v>
      </x:c>
    </x:row>
    <x:row r="14">
      <x:c r="C14" t="str">
        <x:v>Lot</x:v>
      </x:c>
    </x:row>
  </x:sheetData>
  <x:pageMargins left="0.7" right="0.7" top="0.75" bottom="0.75" header="0.3" footer="0.3"/>
</x:worksheet>
</file>